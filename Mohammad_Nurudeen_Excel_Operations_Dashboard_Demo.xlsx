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DASHBOARD" sheetId="1" state="visible" r:id="rId1"/>
    <sheet xmlns:r="http://schemas.openxmlformats.org/officeDocument/2006/relationships" name="VESSEL REGISTER" sheetId="2" state="visible" r:id="rId2"/>
    <sheet xmlns:r="http://schemas.openxmlformats.org/officeDocument/2006/relationships" name="GUIDE &amp; SETTINGS" sheetId="3" state="visible" r:id="rId3"/>
  </sheets>
  <definedNames>
    <definedName name="_xlnm.Print_Area" localSheetId="0">'DASHBOARD'!$A$1:$L$65</definedName>
    <definedName name="_xlnm._FilterDatabase" localSheetId="1" hidden="1">'VESSEL REGISTER'!$A$5:$P$105</definedName>
  </definedNames>
  <calcPr calcId="191029" calcMode="auto" fullCalcOnLoad="1" iterateDelta="0.0001" forceFullCalc="1"/>
</workbook>
</file>

<file path=xl/styles.xml><?xml version="1.0" encoding="utf-8"?>
<styleSheet xmlns="http://schemas.openxmlformats.org/spreadsheetml/2006/main">
  <numFmts count="3">
    <numFmt numFmtId="164" formatCode="0.0"/>
    <numFmt numFmtId="165" formatCode="dd\-mmm\-yy"/>
    <numFmt numFmtId="166" formatCode="#,##0.000"/>
  </numFmts>
  <fonts count="21">
    <font>
      <name val="Calibri"/>
      <charset val="1"/>
      <family val="2"/>
      <color theme="1"/>
      <sz val="11"/>
    </font>
    <font>
      <name val="Arial"/>
      <charset val="1"/>
      <b val="1"/>
      <color rgb="FFFFFFFF"/>
      <sz val="18"/>
    </font>
    <font>
      <name val="Arial"/>
      <charset val="1"/>
      <b val="1"/>
      <color rgb="FF1F3864"/>
      <sz val="10"/>
    </font>
    <font>
      <name val="Arial"/>
      <charset val="1"/>
      <b val="1"/>
      <sz val="11"/>
    </font>
    <font>
      <name val="Arial"/>
      <charset val="1"/>
      <b val="1"/>
      <color rgb="FFFFFFFF"/>
      <sz val="9"/>
    </font>
    <font>
      <name val="Arial"/>
      <charset val="1"/>
      <b val="1"/>
      <color rgb="FF1F3864"/>
      <sz val="22"/>
    </font>
    <font>
      <name val="Arial"/>
      <charset val="1"/>
      <b val="1"/>
      <color rgb="FF375623"/>
      <sz val="22"/>
    </font>
    <font>
      <name val="Arial"/>
      <charset val="1"/>
      <b val="1"/>
      <color rgb="FFC55A11"/>
      <sz val="22"/>
    </font>
    <font>
      <name val="Arial"/>
      <charset val="1"/>
      <i val="1"/>
      <color rgb="FF595959"/>
      <sz val="8"/>
    </font>
    <font>
      <name val="Arial"/>
      <charset val="1"/>
      <b val="1"/>
      <color rgb="FFC00000"/>
      <sz val="22"/>
    </font>
    <font>
      <name val="Arial"/>
      <charset val="1"/>
      <b val="1"/>
      <color rgb="FFBF8F00"/>
      <sz val="22"/>
    </font>
    <font>
      <name val="Arial"/>
      <charset val="1"/>
      <b val="1"/>
      <color rgb="FFFFFFFF"/>
      <sz val="10"/>
    </font>
    <font>
      <name val="Arial"/>
      <charset val="1"/>
      <b val="1"/>
      <sz val="10"/>
    </font>
    <font>
      <name val="Arial"/>
      <charset val="1"/>
      <sz val="10"/>
    </font>
    <font>
      <name val="Arial"/>
      <charset val="1"/>
      <b val="1"/>
      <color rgb="FFFFFFFF"/>
      <sz val="16"/>
    </font>
    <font>
      <name val="Arial"/>
      <charset val="1"/>
      <i val="1"/>
      <sz val="9"/>
    </font>
    <font>
      <name val="Arial"/>
      <charset val="1"/>
      <b val="1"/>
      <sz val="9"/>
    </font>
    <font>
      <name val="Arial"/>
      <charset val="1"/>
      <sz val="9"/>
    </font>
    <font>
      <name val="Arial"/>
      <charset val="1"/>
      <b val="1"/>
      <color rgb="FFC00000"/>
      <sz val="11"/>
    </font>
    <font>
      <name val="Arial"/>
      <charset val="1"/>
      <b val="1"/>
      <color rgb="FFFFFFFF"/>
      <sz val="11"/>
    </font>
    <font>
      <name val="Arial"/>
      <charset val="1"/>
      <b val="1"/>
      <color rgb="FFC00000"/>
      <sz val="10"/>
    </font>
  </fonts>
  <fills count="7">
    <fill>
      <patternFill/>
    </fill>
    <fill>
      <patternFill patternType="gray125"/>
    </fill>
    <fill>
      <patternFill patternType="solid">
        <fgColor rgb="FF1F3864"/>
        <bgColor rgb="FF2F5597"/>
      </patternFill>
    </fill>
    <fill>
      <patternFill patternType="solid">
        <fgColor rgb="FFEAF0F9"/>
        <bgColor rgb="FFF2F2F2"/>
      </patternFill>
    </fill>
    <fill>
      <patternFill patternType="solid">
        <fgColor rgb="FF2F5597"/>
        <bgColor rgb="FF1F3864"/>
      </patternFill>
    </fill>
    <fill>
      <patternFill patternType="solid">
        <fgColor rgb="FFFFF2CC"/>
        <bgColor rgb="FFF2F2F2"/>
      </patternFill>
    </fill>
    <fill>
      <patternFill patternType="solid">
        <fgColor rgb="FFF2F2F2"/>
        <bgColor rgb="FFEAF0F9"/>
      </patternFill>
    </fill>
  </fills>
  <borders count="7">
    <border>
      <left/>
      <right/>
      <top/>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diagonal/>
    </border>
    <border>
      <left/>
      <right style="thin">
        <color rgb="FFA6A6A6"/>
      </right>
      <top style="thin">
        <color rgb="FFA6A6A6"/>
      </top>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s>
  <cellStyleXfs count="1">
    <xf numFmtId="0" fontId="0" fillId="0" borderId="0"/>
  </cellStyleXfs>
  <cellXfs count="50">
    <xf numFmtId="0" fontId="0" fillId="0" borderId="0" pivotButton="0" quotePrefix="0" xfId="0"/>
    <xf numFmtId="164" fontId="5" fillId="3" borderId="1" applyAlignment="1" pivotButton="0" quotePrefix="0" xfId="0">
      <alignment horizontal="center" vertical="center"/>
    </xf>
    <xf numFmtId="1" fontId="10" fillId="3" borderId="1" applyAlignment="1" pivotButton="0" quotePrefix="0" xfId="0">
      <alignment horizontal="center" vertical="center"/>
    </xf>
    <xf numFmtId="1" fontId="9" fillId="3" borderId="1" applyAlignment="1" pivotButton="0" quotePrefix="0" xfId="0">
      <alignment horizontal="center" vertical="center"/>
    </xf>
    <xf numFmtId="0" fontId="8" fillId="3" borderId="1" applyAlignment="1" pivotButton="0" quotePrefix="0" xfId="0">
      <alignment horizontal="center" vertical="center"/>
    </xf>
    <xf numFmtId="3" fontId="5" fillId="3" borderId="1" applyAlignment="1" pivotButton="0" quotePrefix="0" xfId="0">
      <alignment horizontal="center" vertical="center"/>
    </xf>
    <xf numFmtId="9" fontId="5" fillId="3" borderId="1" applyAlignment="1" pivotButton="0" quotePrefix="0" xfId="0">
      <alignment horizontal="center" vertical="center"/>
    </xf>
    <xf numFmtId="1" fontId="7" fillId="3" borderId="1" applyAlignment="1" pivotButton="0" quotePrefix="0" xfId="0">
      <alignment horizontal="center" vertical="center"/>
    </xf>
    <xf numFmtId="1" fontId="6" fillId="3" borderId="1" applyAlignment="1" pivotButton="0" quotePrefix="0" xfId="0">
      <alignment horizontal="center" vertical="center"/>
    </xf>
    <xf numFmtId="1" fontId="5" fillId="3" borderId="1" applyAlignment="1" pivotButton="0" quotePrefix="0" xfId="0">
      <alignment horizontal="center" vertical="center"/>
    </xf>
    <xf numFmtId="0" fontId="4" fillId="4" borderId="1" applyAlignment="1" pivotButton="0" quotePrefix="0" xfId="0">
      <alignment horizontal="center" vertical="center"/>
    </xf>
    <xf numFmtId="0" fontId="3" fillId="3" borderId="0" applyAlignment="1" pivotButton="0" quotePrefix="0" xfId="0">
      <alignment vertical="center" wrapText="1"/>
    </xf>
    <xf numFmtId="0" fontId="2" fillId="0" borderId="0" applyAlignment="1" pivotButton="0" quotePrefix="0" xfId="0">
      <alignment horizontal="right"/>
    </xf>
    <xf numFmtId="0" fontId="2" fillId="0" borderId="0" pivotButton="0" quotePrefix="0" xfId="0"/>
    <xf numFmtId="0" fontId="1" fillId="2" borderId="0" applyAlignment="1" pivotButton="0" quotePrefix="0" xfId="0">
      <alignment horizontal="center" vertical="center"/>
    </xf>
    <xf numFmtId="0" fontId="11" fillId="4" borderId="1" applyAlignment="1" pivotButton="0" quotePrefix="0" xfId="0">
      <alignment horizontal="center" vertical="center" wrapText="1"/>
    </xf>
    <xf numFmtId="1" fontId="12" fillId="0" borderId="1" applyAlignment="1" pivotButton="0" quotePrefix="0" xfId="0">
      <alignment horizontal="center" vertical="center" wrapText="1"/>
    </xf>
    <xf numFmtId="1" fontId="13" fillId="0" borderId="1" applyAlignment="1" pivotButton="0" quotePrefix="0" xfId="0">
      <alignment horizontal="center" vertical="center" wrapText="1"/>
    </xf>
    <xf numFmtId="9" fontId="13" fillId="0" borderId="1" applyAlignment="1" pivotButton="0" quotePrefix="0" xfId="0">
      <alignment horizontal="center" vertical="center" wrapText="1"/>
    </xf>
    <xf numFmtId="3" fontId="13" fillId="0" borderId="1" applyAlignment="1" pivotButton="0" quotePrefix="0" xfId="0">
      <alignment horizontal="center" vertical="center" wrapText="1"/>
    </xf>
    <xf numFmtId="1" fontId="12" fillId="3" borderId="1" applyAlignment="1" pivotButton="0" quotePrefix="0" xfId="0">
      <alignment horizontal="center" vertical="center" wrapText="1"/>
    </xf>
    <xf numFmtId="9" fontId="12" fillId="3" borderId="1" applyAlignment="1" pivotButton="0" quotePrefix="0" xfId="0">
      <alignment horizontal="center" vertical="center" wrapText="1"/>
    </xf>
    <xf numFmtId="3" fontId="12" fillId="3"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6" fillId="0" borderId="0" pivotButton="0" quotePrefix="0" xfId="0"/>
    <xf numFmtId="0" fontId="17" fillId="5" borderId="1" applyAlignment="1" pivotButton="0" quotePrefix="0" xfId="0">
      <alignment horizontal="center"/>
    </xf>
    <xf numFmtId="0" fontId="17" fillId="6" borderId="1" applyAlignment="1" pivotButton="0" quotePrefix="0" xfId="0">
      <alignment horizontal="center"/>
    </xf>
    <xf numFmtId="0" fontId="11" fillId="2" borderId="1" applyAlignment="1" pivotButton="0" quotePrefix="0" xfId="0">
      <alignment horizontal="center" vertical="center" wrapText="1"/>
    </xf>
    <xf numFmtId="0" fontId="13" fillId="6" borderId="1" applyAlignment="1" pivotButton="0" quotePrefix="0" xfId="0">
      <alignment horizontal="center" vertical="center" wrapText="1"/>
    </xf>
    <xf numFmtId="0" fontId="13" fillId="5" borderId="1" applyAlignment="1" pivotButton="0" quotePrefix="0" xfId="0">
      <alignment horizontal="left" vertical="center" wrapText="1"/>
    </xf>
    <xf numFmtId="0" fontId="13" fillId="5" borderId="1" applyAlignment="1" pivotButton="0" quotePrefix="0" xfId="0">
      <alignment horizontal="center" vertical="center" wrapText="1"/>
    </xf>
    <xf numFmtId="165" fontId="13" fillId="5" borderId="1" applyAlignment="1" pivotButton="0" quotePrefix="0" xfId="0">
      <alignment horizontal="center" vertical="center" wrapText="1"/>
    </xf>
    <xf numFmtId="166"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8" fillId="0" borderId="0" pivotButton="0" quotePrefix="0" xfId="0"/>
    <xf numFmtId="0" fontId="12" fillId="0" borderId="1" pivotButton="0" quotePrefix="0" xfId="0"/>
    <xf numFmtId="0" fontId="12" fillId="3" borderId="1" applyAlignment="1" pivotButton="0" quotePrefix="0" xfId="0">
      <alignment horizontal="left" vertical="center" wrapText="1"/>
    </xf>
    <xf numFmtId="0" fontId="11" fillId="2" borderId="2" applyAlignment="1" pivotButton="0" quotePrefix="0" xfId="0">
      <alignment horizontal="center" vertical="center" wrapText="1"/>
    </xf>
    <xf numFmtId="0" fontId="11" fillId="4" borderId="1" applyAlignment="1" pivotButton="0" quotePrefix="0" xfId="0">
      <alignment horizontal="center" vertical="center" wrapText="1"/>
    </xf>
    <xf numFmtId="1"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8" fillId="0" borderId="0" applyAlignment="1" pivotButton="0" quotePrefix="0" xfId="0">
      <alignment wrapText="1"/>
    </xf>
    <xf numFmtId="0" fontId="14" fillId="2" borderId="0" applyAlignment="1" pivotButton="0" quotePrefix="0" xfId="0">
      <alignment horizontal="center" vertical="center"/>
    </xf>
    <xf numFmtId="0" fontId="15" fillId="0" borderId="0" applyAlignment="1" pivotButton="0" quotePrefix="0" xfId="0">
      <alignment vertical="center" wrapText="1"/>
    </xf>
    <xf numFmtId="0" fontId="19" fillId="4" borderId="2" applyAlignment="1" pivotButton="0" quotePrefix="0" xfId="0">
      <alignment horizontal="center" vertical="center" wrapText="1"/>
    </xf>
    <xf numFmtId="0" fontId="13" fillId="0" borderId="0" applyAlignment="1" pivotButton="0" quotePrefix="0" xfId="0">
      <alignment vertical="center" wrapText="1"/>
    </xf>
    <xf numFmtId="0" fontId="20" fillId="0" borderId="0" applyAlignment="1" pivotButton="0" quotePrefix="0" xfId="0">
      <alignment vertical="center" wrapText="1"/>
    </xf>
    <xf numFmtId="0" fontId="0" fillId="0" borderId="5" pivotButton="0" quotePrefix="0" xfId="0"/>
    <xf numFmtId="0" fontId="0" fillId="0" borderId="6" pivotButton="0" quotePrefix="0" xfId="0"/>
  </cellXfs>
  <cellStyles count="1">
    <cellStyle name="Normal" xfId="0" builtinId="0"/>
  </cellStyles>
  <dxfs count="9">
    <dxf>
      <fill>
        <patternFill>
          <bgColor rgb="FFFFC7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EAF0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4F81BD"/>
      <rgbColor rgb="FF33CCCC"/>
      <rgbColor rgb="FF99CC00"/>
      <rgbColor rgb="FFFFCC00"/>
      <rgbColor rgb="FFBF8F00"/>
      <rgbColor rgb="FFED7D31"/>
      <rgbColor rgb="FF595959"/>
      <rgbColor rgb="FFA6A6A6"/>
      <rgbColor rgb="FF1F3864"/>
      <rgbColor rgb="FF70AD47"/>
      <rgbColor rgb="FF003300"/>
      <rgbColor rgb="FF333300"/>
      <rgbColor rgb="FFC55A11"/>
      <rgbColor rgb="FF993366"/>
      <rgbColor rgb="FF2F5597"/>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Cleared vs Pending vessels</a:t>
            </a:r>
          </a:p>
        </rich>
      </tx>
      <overlay val="0"/>
      <spPr>
        <a:noFill xmlns:a="http://schemas.openxmlformats.org/drawingml/2006/main"/>
        <a:ln xmlns:a="http://schemas.openxmlformats.org/drawingml/2006/main" w="0">
          <a:noFill/>
          <a:prstDash val="solid"/>
        </a:ln>
      </spPr>
    </title>
    <plotArea>
      <layout/>
      <pieChart>
        <varyColors val="1"/>
        <ser>
          <idx val="0"/>
          <order val="0"/>
          <spPr>
            <a:solidFill xmlns:a="http://schemas.openxmlformats.org/drawingml/2006/main">
              <a:srgbClr val="4F81BD"/>
            </a:solidFill>
            <a:ln xmlns:a="http://schemas.openxmlformats.org/drawingml/2006/main" w="0">
              <a:noFill/>
              <a:prstDash val="solid"/>
            </a:ln>
          </spPr>
          <dPt>
            <idx val="0"/>
            <bubble3D val="0"/>
            <spPr>
              <a:solidFill xmlns:a="http://schemas.openxmlformats.org/drawingml/2006/main">
                <a:srgbClr val="70AD47"/>
              </a:solidFill>
              <a:ln xmlns:a="http://schemas.openxmlformats.org/drawingml/2006/main" w="0">
                <a:noFill/>
                <a:prstDash val="solid"/>
              </a:ln>
            </spPr>
          </dPt>
          <dPt>
            <idx val="1"/>
            <bubble3D val="0"/>
            <spPr>
              <a:solidFill xmlns:a="http://schemas.openxmlformats.org/drawingml/2006/main">
                <a:srgbClr val="ED7D31"/>
              </a:solidFill>
              <a:ln xmlns:a="http://schemas.openxmlformats.org/drawingml/2006/main" w="0">
                <a:noFill/>
                <a:prstDash val="solid"/>
              </a:ln>
            </spPr>
          </dPt>
          <dLbls>
            <dLbl>
              <idx val="0"/>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dLblPos val="bestFit"/>
              <showLegendKey val="0"/>
              <showVal val="1"/>
              <showCatName val="0"/>
              <showSerName val="0"/>
              <showPercent val="0"/>
              <showBubbleSize val="1"/>
            </dLbl>
            <dLbl>
              <idx val="1"/>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dLblPos val="bestFit"/>
              <showLegendKey val="0"/>
              <showVal val="1"/>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dLblPos val="bestFit"/>
            <showLegendKey val="0"/>
            <showVal val="1"/>
            <showCatName val="0"/>
            <showSerName val="0"/>
            <showPercent val="0"/>
            <showBubbleSize val="1"/>
            <showLeaderLines val="0"/>
          </dLbls>
          <cat>
            <strRef>
              <f>DASHBOARD!$C$14:$D$14</f>
              <strCache>
                <ptCount val="2"/>
                <pt idx="0">
                  <v>Cleared</v>
                </pt>
                <pt idx="1">
                  <v>Pending</v>
                </pt>
              </strCache>
            </strRef>
          </cat>
          <val>
            <numRef>
              <f>DASHBOARD!$C$17:$D$17</f>
              <numCache>
                <formatCode>0</formatCode>
                <ptCount val="2"/>
                <pt idx="0">
                  <v>0</v>
                </pt>
                <pt idx="1">
                  <v>0</v>
                </pt>
              </numCache>
            </numRef>
          </val>
        </ser>
        <dLbls>
          <showLegendKey val="0"/>
          <showVal val="0"/>
          <showCatName val="0"/>
          <showSerName val="0"/>
          <showPercent val="0"/>
          <showBubbleSize val="0"/>
          <showLeaderLines val="0"/>
        </dLbls>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Vessels by product: cleared vs pending</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DASHBOARD!$C$14</f>
              <strCache>
                <ptCount val="1"/>
                <pt idx="0">
                  <v>Cleared</v>
                </pt>
              </strCache>
            </strRef>
          </tx>
          <spPr>
            <a:solidFill xmlns:a="http://schemas.openxmlformats.org/drawingml/2006/main">
              <a:srgbClr val="70AD47"/>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dLblPos val="outEnd"/>
            <showLegendKey val="0"/>
            <showVal val="1"/>
            <showCatName val="0"/>
            <showSerName val="0"/>
            <showPercent val="0"/>
            <showBubbleSize val="1"/>
            <showLeaderLines val="0"/>
          </dLbls>
          <cat>
            <strRef>
              <f>DASHBOARD!$A$15:$A$16</f>
              <strCache>
                <ptCount val="2"/>
                <pt idx="0">
                  <v>AGO</v>
                </pt>
                <pt idx="1">
                  <v>PMS</v>
                </pt>
              </strCache>
            </strRef>
          </cat>
          <val>
            <numRef>
              <f>DASHBOARD!$C$15:$C$16</f>
              <numCache>
                <formatCode>0</formatCode>
                <ptCount val="2"/>
                <pt idx="0">
                  <v>0</v>
                </pt>
                <pt idx="1">
                  <v>0</v>
                </pt>
              </numCache>
            </numRef>
          </val>
        </ser>
        <ser>
          <idx val="1"/>
          <order val="1"/>
          <tx>
            <strRef>
              <f>DASHBOARD!$D$14</f>
              <strCache>
                <ptCount val="1"/>
                <pt idx="0">
                  <v>Pending</v>
                </pt>
              </strCache>
            </strRef>
          </tx>
          <spPr>
            <a:solidFill xmlns:a="http://schemas.openxmlformats.org/drawingml/2006/main">
              <a:srgbClr val="ED7D31"/>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dLblPos val="outEnd"/>
            <showLegendKey val="0"/>
            <showVal val="1"/>
            <showCatName val="0"/>
            <showSerName val="0"/>
            <showPercent val="0"/>
            <showBubbleSize val="1"/>
            <showLeaderLines val="0"/>
          </dLbls>
          <cat>
            <strRef>
              <f>DASHBOARD!$A$15:$A$16</f>
              <strCache>
                <ptCount val="2"/>
                <pt idx="0">
                  <v>AGO</v>
                </pt>
                <pt idx="1">
                  <v>PMS</v>
                </pt>
              </strCache>
            </strRef>
          </cat>
          <val>
            <numRef>
              <f>DASHBOARD!$D$15:$D$16</f>
              <numCache>
                <formatCode>0</formatCode>
                <ptCount val="2"/>
                <pt idx="0">
                  <v>0</v>
                </pt>
                <pt idx="1">
                  <v>0</v>
                </pt>
              </numCache>
            </numRef>
          </val>
        </ser>
        <dLbls>
          <showLegendKey val="0"/>
          <showVal val="0"/>
          <showCatName val="0"/>
          <showSerName val="0"/>
          <showPercent val="0"/>
          <showBubbleSize val="0"/>
        </dLbls>
        <gapWidth val="150"/>
        <axId val="25181561"/>
        <axId val="51007373"/>
      </barChart>
      <catAx>
        <axId val="2518156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51007373"/>
        <crosses val="autoZero"/>
        <auto val="1"/>
        <lblAlgn val="ctr"/>
        <lblOffset val="100"/>
        <noMultiLvlLbl val="0"/>
      </catAx>
      <valAx>
        <axId val="51007373"/>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2518156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en-US" sz="1800" b="1" strike="noStrike" spc="-1">
                <a:solidFill>
                  <a:srgbClr val="000000"/>
                </a:solidFill>
                <a:latin typeface="Calibri"/>
              </a:rPr>
              <a:t>Monthly: vessels started vs cleared</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DASHBOARD!$J$22</f>
              <strCache>
                <ptCount val="1"/>
                <pt idx="0">
                  <v>Vessels started</v>
                </pt>
              </strCache>
            </strRef>
          </tx>
          <spPr>
            <a:solidFill xmlns:a="http://schemas.openxmlformats.org/drawingml/2006/main">
              <a:srgbClr val="2F5597"/>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n-US"/>
              </a:p>
            </txPr>
            <showLegendKey val="0"/>
            <showVal val="0"/>
            <showCatName val="0"/>
            <showSerName val="0"/>
            <showPercent val="0"/>
            <showBubbleSize val="1"/>
            <showLeaderLines val="0"/>
          </dLbls>
          <cat>
            <strRef>
              <f>DASHBOARD!$I$23:$I$28</f>
              <strCache>
                <ptCount val="6"/>
                <pt idx="0">
                  <v>May 26</v>
                </pt>
                <pt idx="1">
                  <v>Jun 26</v>
                </pt>
                <pt idx="2">
                  <v>Jul 26</v>
                </pt>
                <pt idx="3">
                  <v>Aug 26</v>
                </pt>
                <pt idx="4">
                  <v>Sep 26</v>
                </pt>
                <pt idx="5">
                  <v>Oct 26</v>
                </pt>
              </strCache>
            </strRef>
          </cat>
          <val>
            <numRef>
              <f>DASHBOARD!$J$23:$J$28</f>
              <numCache>
                <formatCode>0</formatCode>
                <ptCount val="6"/>
                <pt idx="0">
                  <v>0</v>
                </pt>
                <pt idx="1">
                  <v>0</v>
                </pt>
                <pt idx="2">
                  <v>0</v>
                </pt>
                <pt idx="3">
                  <v>0</v>
                </pt>
                <pt idx="4">
                  <v>0</v>
                </pt>
                <pt idx="5">
                  <v>0</v>
                </pt>
              </numCache>
            </numRef>
          </val>
        </ser>
        <ser>
          <idx val="1"/>
          <order val="1"/>
          <tx>
            <strRef>
              <f>DASHBOARD!$K$22</f>
              <strCache>
                <ptCount val="1"/>
                <pt idx="0">
                  <v>Vessels cleared</v>
                </pt>
              </strCache>
            </strRef>
          </tx>
          <spPr>
            <a:solidFill xmlns:a="http://schemas.openxmlformats.org/drawingml/2006/main">
              <a:srgbClr val="70AD47"/>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endParaRPr lang="en-US"/>
              </a:p>
            </txPr>
            <showLegendKey val="0"/>
            <showVal val="0"/>
            <showCatName val="0"/>
            <showSerName val="0"/>
            <showPercent val="0"/>
            <showBubbleSize val="1"/>
            <showLeaderLines val="0"/>
          </dLbls>
          <cat>
            <strRef>
              <f>DASHBOARD!$I$23:$I$28</f>
              <strCache>
                <ptCount val="6"/>
                <pt idx="0">
                  <v>May 26</v>
                </pt>
                <pt idx="1">
                  <v>Jun 26</v>
                </pt>
                <pt idx="2">
                  <v>Jul 26</v>
                </pt>
                <pt idx="3">
                  <v>Aug 26</v>
                </pt>
                <pt idx="4">
                  <v>Sep 26</v>
                </pt>
                <pt idx="5">
                  <v>Oct 26</v>
                </pt>
              </strCache>
            </strRef>
          </cat>
          <val>
            <numRef>
              <f>DASHBOARD!$K$23:$K$28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axId val="45175154"/>
        <axId val="94247299"/>
      </barChart>
      <catAx>
        <axId val="45175154"/>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94247299"/>
        <crosses val="autoZero"/>
        <auto val="1"/>
        <lblAlgn val="ctr"/>
        <lblOffset val="100"/>
        <noMultiLvlLbl val="0"/>
      </catAx>
      <valAx>
        <axId val="94247299"/>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crossAx val="45175154"/>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1.png" Id="rId4"/></Relationships>
</file>

<file path=xl/drawings/drawing1.xml><?xml version="1.0" encoding="utf-8"?>
<wsDr xmlns="http://schemas.openxmlformats.org/drawingml/2006/spreadsheetDrawing">
  <twoCellAnchor editAs="oneCell">
    <from>
      <col>0</col>
      <colOff>0</colOff>
      <row>31</row>
      <rowOff>78120</rowOff>
    </from>
    <to>
      <col>3</col>
      <colOff>858240</colOff>
      <row>45</row>
      <rowOff>110520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4</col>
      <colOff>0</colOff>
      <row>31</row>
      <rowOff>78120</rowOff>
    </from>
    <to>
      <col>8</col>
      <colOff>12600</colOff>
      <row>45</row>
      <rowOff>110520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8</col>
      <colOff>0</colOff>
      <row>31</row>
      <rowOff>78120</rowOff>
    </from>
    <to>
      <col>11</col>
      <colOff>945690</colOff>
      <row>45</row>
      <rowOff>110520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11</col>
      <colOff>5543549</colOff>
      <row>2</row>
      <rowOff>9525</rowOff>
    </from>
    <to>
      <col>11</col>
      <colOff>7400924</colOff>
      <row>3</row>
      <rowOff>66675</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5944849" y="676275"/>
          <a:ext cx="1857375"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L65"/>
  <sheetViews>
    <sheetView showGridLines="0" zoomScaleNormal="100" workbookViewId="0">
      <selection activeCell="K6" sqref="K6:L6"/>
    </sheetView>
  </sheetViews>
  <sheetFormatPr baseColWidth="8" defaultColWidth="8.7109375" defaultRowHeight="15"/>
  <cols>
    <col width="16" customWidth="1" min="1" max="1"/>
    <col width="14" customWidth="1" min="2" max="11"/>
    <col width="111.42578125" customWidth="1" min="12" max="12"/>
  </cols>
  <sheetData>
    <row r="1" ht="37.5" customHeight="1">
      <c r="A1" s="14" t="inlineStr">
        <is>
          <t>VESSEL CLEARANCE STATUS REPORT - NMDPRA CARGO CLEARANCE</t>
        </is>
      </c>
    </row>
    <row r="2">
      <c r="A2" s="13">
        <f>"Vessel clearance dashboard | Report date: "&amp;TEXT(TODAY(),"dd mmmm yyyy")</f>
        <v/>
      </c>
      <c r="G2" s="12">
        <f>"Report date: "&amp;TEXT(TODAY(),"dd mmmm yyyy")</f>
        <v/>
      </c>
    </row>
    <row r="3" ht="45.75" customHeight="1">
      <c r="A3" s="11" t="n"/>
    </row>
    <row r="4"/>
    <row r="5" ht="19.5" customHeight="1">
      <c r="A5" s="10" t="inlineStr">
        <is>
          <t>TOTAL VESSELS</t>
        </is>
      </c>
      <c r="B5" s="48" t="n"/>
      <c r="C5" s="10" t="inlineStr">
        <is>
          <t>CLEARED</t>
        </is>
      </c>
      <c r="D5" s="48" t="n"/>
      <c r="E5" s="10" t="inlineStr">
        <is>
          <t>PENDING</t>
        </is>
      </c>
      <c r="F5" s="48" t="n"/>
      <c r="G5" s="10" t="inlineStr">
        <is>
          <t>% CLEARED</t>
        </is>
      </c>
      <c r="H5" s="48" t="n"/>
      <c r="I5" s="10" t="inlineStr">
        <is>
          <t>QTY PENDING (MT)</t>
        </is>
      </c>
      <c r="J5" s="48" t="n"/>
      <c r="K5" s="10" t="inlineStr">
        <is>
          <t>OLDEST PENDING (DAYS)</t>
        </is>
      </c>
      <c r="L5" s="48" t="n"/>
    </row>
    <row r="6" ht="37.5" customHeight="1">
      <c r="A6" s="9">
        <f>COUNTIF('VESSEL REGISTER'!$H$6:$H$105,"CLEARED")+COUNTIF('VESSEL REGISTER'!$H$6:$H$105,"PENDING")</f>
        <v/>
      </c>
      <c r="B6" s="48" t="n"/>
      <c r="C6" s="8">
        <f>COUNTIF('VESSEL REGISTER'!$H$6:$H$105,"CLEARED")</f>
        <v/>
      </c>
      <c r="D6" s="48" t="n"/>
      <c r="E6" s="7">
        <f>COUNTIF('VESSEL REGISTER'!$H$6:$H$105,"PENDING")</f>
        <v/>
      </c>
      <c r="F6" s="48" t="n"/>
      <c r="G6" s="6">
        <f>IF(A6=0,0,C6/A6)</f>
        <v/>
      </c>
      <c r="H6" s="48" t="n"/>
      <c r="I6" s="5">
        <f>SUMIFS('VESSEL REGISTER'!$F$6:$F$105,'VESSEL REGISTER'!$H$6:$H$105,"PENDING")</f>
        <v/>
      </c>
      <c r="J6" s="48" t="n"/>
      <c r="K6" s="9">
        <f>IFERROR(INDEX('VESSEL REGISTER'!$I$6:$I$105,MATCH(1,'VESSEL REGISTER'!$O$6:$O$105,0)),0)</f>
        <v/>
      </c>
      <c r="L6" s="48" t="n"/>
    </row>
    <row r="7" ht="15.75" customHeight="1">
      <c r="A7" s="4" t="inlineStr">
        <is>
          <t>all vessels logged</t>
        </is>
      </c>
      <c r="B7" s="48" t="n"/>
      <c r="C7" s="4" t="inlineStr">
        <is>
          <t>NMDPRA clearance received</t>
        </is>
      </c>
      <c r="D7" s="48" t="n"/>
      <c r="E7" s="4" t="inlineStr">
        <is>
          <t>awaiting clearance</t>
        </is>
      </c>
      <c r="F7" s="48" t="n"/>
      <c r="G7" s="4" t="inlineStr">
        <is>
          <t>cleared / total</t>
        </is>
      </c>
      <c r="H7" s="48" t="n"/>
      <c r="I7" s="4" t="inlineStr">
        <is>
          <t>tonnage not yet cleared</t>
        </is>
      </c>
      <c r="J7" s="48" t="n"/>
      <c r="K7" s="4" t="inlineStr">
        <is>
          <t>longest wait so far</t>
        </is>
      </c>
      <c r="L7" s="48" t="n"/>
    </row>
    <row r="8" ht="7.5" customHeight="1"/>
    <row r="9" ht="19.5" customHeight="1">
      <c r="A9" s="10" t="inlineStr">
        <is>
          <t>QTY CLEARED (MT)</t>
        </is>
      </c>
      <c r="B9" s="48" t="n"/>
      <c r="C9" s="10" t="inlineStr">
        <is>
          <t>CRITICAL PENDING</t>
        </is>
      </c>
      <c r="D9" s="48" t="n"/>
      <c r="E9" s="10" t="inlineStr">
        <is>
          <t>NEED ATTENTION</t>
        </is>
      </c>
      <c r="F9" s="48" t="n"/>
      <c r="G9" s="10" t="inlineStr">
        <is>
          <t>AVG DAYS TO CLEAR</t>
        </is>
      </c>
      <c r="H9" s="48" t="n"/>
      <c r="I9" s="10" t="inlineStr">
        <is>
          <t>CLEARED THIS MONTH</t>
        </is>
      </c>
      <c r="J9" s="48" t="n"/>
      <c r="K9" s="10" t="inlineStr">
        <is>
          <t>NEW VESSELS THIS MONTH</t>
        </is>
      </c>
      <c r="L9" s="48" t="n"/>
    </row>
    <row r="10" ht="37.5" customHeight="1">
      <c r="A10" s="5">
        <f>SUMIFS('VESSEL REGISTER'!$F$6:$F$105,'VESSEL REGISTER'!$H$6:$H$105,"CLEARED")</f>
        <v/>
      </c>
      <c r="B10" s="48" t="n"/>
      <c r="C10" s="3">
        <f>COUNTIF('VESSEL REGISTER'!$J$6:$J$105,"CRITICAL")</f>
        <v/>
      </c>
      <c r="D10" s="48" t="n"/>
      <c r="E10" s="2">
        <f>COUNTIF('VESSEL REGISTER'!$J$6:$J$105,"ATTENTION")</f>
        <v/>
      </c>
      <c r="F10" s="48" t="n"/>
      <c r="G10" s="1">
        <f>IFERROR(AVERAGEIFS('VESSEL REGISTER'!$I$6:$I$105,'VESSEL REGISTER'!$H$6:$H$105,"CLEARED"),0)</f>
        <v/>
      </c>
      <c r="H10" s="48" t="n"/>
      <c r="I10" s="9">
        <f>COUNTIFS('VESSEL REGISTER'!$G$6:$G$105,"&gt;="&amp;DATE(YEAR(TODAY()),MONTH(TODAY()),1),'VESSEL REGISTER'!$G$6:$G$105,"&lt;"&amp;DATE(YEAR(TODAY()),MONTH(TODAY())+1,1))</f>
        <v/>
      </c>
      <c r="J10" s="48" t="n"/>
      <c r="K10" s="9">
        <f>COUNTIFS('VESSEL REGISTER'!$E$6:$E$105,"&gt;="&amp;DATE(YEAR(TODAY()),MONTH(TODAY()),1),'VESSEL REGISTER'!$E$6:$E$105,"&lt;"&amp;DATE(YEAR(TODAY()),MONTH(TODAY())+1,1))</f>
        <v/>
      </c>
      <c r="L10" s="48" t="n"/>
    </row>
    <row r="11" ht="15.75" customHeight="1">
      <c r="A11" s="4" t="inlineStr">
        <is>
          <t>tonnage cleared</t>
        </is>
      </c>
      <c r="B11" s="48" t="n"/>
      <c r="C11" s="4" t="inlineStr">
        <is>
          <t>over critical limit</t>
        </is>
      </c>
      <c r="D11" s="48" t="n"/>
      <c r="E11" s="4" t="inlineStr">
        <is>
          <t>over attention limit</t>
        </is>
      </c>
      <c r="F11" s="48" t="n"/>
      <c r="G11" s="4" t="inlineStr">
        <is>
          <t>cleared vessels only</t>
        </is>
      </c>
      <c r="H11" s="48" t="n"/>
      <c r="I11" s="4" t="inlineStr">
        <is>
          <t>clearances in current month</t>
        </is>
      </c>
      <c r="J11" s="48" t="n"/>
      <c r="K11" s="4" t="inlineStr">
        <is>
          <t>started in current month</t>
        </is>
      </c>
      <c r="L11" s="48" t="n"/>
    </row>
    <row r="12"/>
    <row r="13" ht="15" customHeight="1">
      <c r="A13" s="38" t="inlineStr">
        <is>
          <t>CLEARANCE STATUS BY PRODUCT</t>
        </is>
      </c>
      <c r="B13" s="49" t="n"/>
      <c r="C13" s="49" t="n"/>
      <c r="D13" s="49" t="n"/>
      <c r="E13" s="49" t="n"/>
      <c r="F13" s="49" t="n"/>
      <c r="G13" s="49" t="n"/>
      <c r="I13" s="38" t="inlineStr">
        <is>
          <t>PENDING VESSELS BY AGEING</t>
        </is>
      </c>
      <c r="J13" s="49" t="n"/>
      <c r="K13" s="49" t="n"/>
      <c r="L13" s="49" t="n"/>
    </row>
    <row r="14" ht="30" customHeight="1">
      <c r="A14" s="39" t="inlineStr">
        <is>
          <t>Product</t>
        </is>
      </c>
      <c r="B14" s="39" t="inlineStr">
        <is>
          <t>Vessels</t>
        </is>
      </c>
      <c r="C14" s="39" t="inlineStr">
        <is>
          <t>Cleared</t>
        </is>
      </c>
      <c r="D14" s="39" t="inlineStr">
        <is>
          <t>Pending</t>
        </is>
      </c>
      <c r="E14" s="39" t="inlineStr">
        <is>
          <t>% Cleared</t>
        </is>
      </c>
      <c r="F14" s="39" t="inlineStr">
        <is>
          <t>Qty Cleared (MT)</t>
        </is>
      </c>
      <c r="G14" s="39" t="inlineStr">
        <is>
          <t>Qty Pending (MT)</t>
        </is>
      </c>
      <c r="I14" s="39" t="inlineStr">
        <is>
          <t>Days pending</t>
        </is>
      </c>
      <c r="J14" s="39" t="inlineStr">
        <is>
          <t>Vessels</t>
        </is>
      </c>
      <c r="K14" s="39" t="inlineStr">
        <is>
          <t>Qty (MT)</t>
        </is>
      </c>
      <c r="L14" s="39" t="inlineStr">
        <is>
          <t>% of pending</t>
        </is>
      </c>
    </row>
    <row r="15">
      <c r="A15" s="16" t="inlineStr">
        <is>
          <t>AGO</t>
        </is>
      </c>
      <c r="B15" s="17">
        <f>C15+D15</f>
        <v/>
      </c>
      <c r="C15" s="17">
        <f>COUNTIFS('VESSEL REGISTER'!$C$6:$C$105,A15,'VESSEL REGISTER'!$H$6:$H$105,"CLEARED")</f>
        <v/>
      </c>
      <c r="D15" s="17">
        <f>COUNTIFS('VESSEL REGISTER'!$C$6:$C$105,A15,'VESSEL REGISTER'!$H$6:$H$105,"PENDING")</f>
        <v/>
      </c>
      <c r="E15" s="18">
        <f>IF(B15=0,0,C15/B15)</f>
        <v/>
      </c>
      <c r="F15" s="19">
        <f>SUMIFS('VESSEL REGISTER'!$F$6:$F$105,'VESSEL REGISTER'!$C$6:$C$105,A15,'VESSEL REGISTER'!$H$6:$H$105,"CLEARED")</f>
        <v/>
      </c>
      <c r="G15" s="19">
        <f>SUMIFS('VESSEL REGISTER'!$F$6:$F$105,'VESSEL REGISTER'!$C$6:$C$105,A15,'VESSEL REGISTER'!$H$6:$H$105,"PENDING")</f>
        <v/>
      </c>
      <c r="I15" s="16" t="inlineStr">
        <is>
          <t>0 - 7 days</t>
        </is>
      </c>
      <c r="J15" s="17">
        <f>COUNTIFS('VESSEL REGISTER'!$H$6:$H$105,"PENDING",'VESSEL REGISTER'!$I$6:$I$105,"&gt;=0",'VESSEL REGISTER'!$I$6:$I$105,"&lt;=7")</f>
        <v/>
      </c>
      <c r="K15" s="19">
        <f>SUMIFS('VESSEL REGISTER'!$F$6:$F$105,'VESSEL REGISTER'!$H$6:$H$105,"PENDING",'VESSEL REGISTER'!$I$6:$I$105,"&gt;=0",'VESSEL REGISTER'!$I$6:$I$105,"&lt;=7")</f>
        <v/>
      </c>
      <c r="L15" s="18">
        <f>IF($E$6=0,0,J15/$E$6)</f>
        <v/>
      </c>
    </row>
    <row r="16">
      <c r="A16" s="16" t="inlineStr">
        <is>
          <t>PMS</t>
        </is>
      </c>
      <c r="B16" s="17">
        <f>C16+D16</f>
        <v/>
      </c>
      <c r="C16" s="17">
        <f>COUNTIFS('VESSEL REGISTER'!$C$6:$C$105,A16,'VESSEL REGISTER'!$H$6:$H$105,"CLEARED")</f>
        <v/>
      </c>
      <c r="D16" s="17">
        <f>COUNTIFS('VESSEL REGISTER'!$C$6:$C$105,A16,'VESSEL REGISTER'!$H$6:$H$105,"PENDING")</f>
        <v/>
      </c>
      <c r="E16" s="18">
        <f>IF(B16=0,0,C16/B16)</f>
        <v/>
      </c>
      <c r="F16" s="19">
        <f>SUMIFS('VESSEL REGISTER'!$F$6:$F$105,'VESSEL REGISTER'!$C$6:$C$105,A16,'VESSEL REGISTER'!$H$6:$H$105,"CLEARED")</f>
        <v/>
      </c>
      <c r="G16" s="19">
        <f>SUMIFS('VESSEL REGISTER'!$F$6:$F$105,'VESSEL REGISTER'!$C$6:$C$105,A16,'VESSEL REGISTER'!$H$6:$H$105,"PENDING")</f>
        <v/>
      </c>
      <c r="I16" s="16" t="inlineStr">
        <is>
          <t>8 - 14 days</t>
        </is>
      </c>
      <c r="J16" s="17">
        <f>COUNTIFS('VESSEL REGISTER'!$H$6:$H$105,"PENDING",'VESSEL REGISTER'!$I$6:$I$105,"&gt;=8",'VESSEL REGISTER'!$I$6:$I$105,"&lt;=14")</f>
        <v/>
      </c>
      <c r="K16" s="19">
        <f>SUMIFS('VESSEL REGISTER'!$F$6:$F$105,'VESSEL REGISTER'!$H$6:$H$105,"PENDING",'VESSEL REGISTER'!$I$6:$I$105,"&gt;=8",'VESSEL REGISTER'!$I$6:$I$105,"&lt;=14")</f>
        <v/>
      </c>
      <c r="L16" s="18">
        <f>IF($E$6=0,0,J16/$E$6)</f>
        <v/>
      </c>
    </row>
    <row r="17">
      <c r="A17" s="20" t="inlineStr">
        <is>
          <t>TOTAL</t>
        </is>
      </c>
      <c r="B17" s="20">
        <f>SUM(B15:B16)</f>
        <v/>
      </c>
      <c r="C17" s="20">
        <f>SUM(C15:C16)</f>
        <v/>
      </c>
      <c r="D17" s="20">
        <f>SUM(D15:D16)</f>
        <v/>
      </c>
      <c r="E17" s="21">
        <f>IF(B17=0,0,C17/B17)</f>
        <v/>
      </c>
      <c r="F17" s="22">
        <f>SUM(F15:F16)</f>
        <v/>
      </c>
      <c r="G17" s="22">
        <f>SUM(G15:G16)</f>
        <v/>
      </c>
      <c r="I17" s="16" t="inlineStr">
        <is>
          <t>15 - 30 days</t>
        </is>
      </c>
      <c r="J17" s="17">
        <f>COUNTIFS('VESSEL REGISTER'!$H$6:$H$105,"PENDING",'VESSEL REGISTER'!$I$6:$I$105,"&gt;=15",'VESSEL REGISTER'!$I$6:$I$105,"&lt;=30")</f>
        <v/>
      </c>
      <c r="K17" s="19">
        <f>SUMIFS('VESSEL REGISTER'!$F$6:$F$105,'VESSEL REGISTER'!$H$6:$H$105,"PENDING",'VESSEL REGISTER'!$I$6:$I$105,"&gt;=15",'VESSEL REGISTER'!$I$6:$I$105,"&lt;=30")</f>
        <v/>
      </c>
      <c r="L17" s="18">
        <f>IF($E$6=0,0,J17/$E$6)</f>
        <v/>
      </c>
    </row>
    <row r="18">
      <c r="I18" s="16" t="inlineStr">
        <is>
          <t>Over 30 days</t>
        </is>
      </c>
      <c r="J18" s="17">
        <f>COUNTIFS('VESSEL REGISTER'!$H$6:$H$105,"PENDING",'VESSEL REGISTER'!$I$6:$I$105,"&gt;30")</f>
        <v/>
      </c>
      <c r="K18" s="19">
        <f>SUMIFS('VESSEL REGISTER'!$F$6:$F$105,'VESSEL REGISTER'!$H$6:$H$105,"PENDING",'VESSEL REGISTER'!$I$6:$I$105,"&gt;30")</f>
        <v/>
      </c>
      <c r="L18" s="18">
        <f>IF($E$6=0,0,J18/$E$6)</f>
        <v/>
      </c>
    </row>
    <row r="19" ht="25.5" customHeight="1">
      <c r="I19" s="20" t="inlineStr">
        <is>
          <t>TOTAL PENDING</t>
        </is>
      </c>
      <c r="J19" s="20">
        <f>SUM(J15:J18)</f>
        <v/>
      </c>
      <c r="K19" s="22">
        <f>SUM(K15:K18)</f>
        <v/>
      </c>
      <c r="L19" s="21">
        <f>SUM(L15:L18)</f>
        <v/>
      </c>
    </row>
    <row r="20"/>
    <row r="21" ht="15" customHeight="1">
      <c r="A21" s="38" t="inlineStr">
        <is>
          <t>WHY ARE VESSELS PENDING?</t>
        </is>
      </c>
      <c r="B21" s="49" t="n"/>
      <c r="C21" s="49" t="n"/>
      <c r="D21" s="49" t="n"/>
      <c r="E21" s="49" t="n"/>
      <c r="F21" s="49" t="n"/>
      <c r="G21" s="49" t="n"/>
      <c r="I21" s="38" t="inlineStr">
        <is>
          <t>MONTHLY TREND (LAST 6 MONTHS)</t>
        </is>
      </c>
      <c r="J21" s="49" t="n"/>
      <c r="K21" s="49" t="n"/>
      <c r="L21" s="49" t="n"/>
    </row>
    <row r="22" ht="27.75" customHeight="1">
      <c r="A22" s="39" t="inlineStr">
        <is>
          <t>Pending reason</t>
        </is>
      </c>
      <c r="B22" s="49" t="n"/>
      <c r="C22" s="48" t="n"/>
      <c r="D22" s="39" t="inlineStr">
        <is>
          <t>Vessels</t>
        </is>
      </c>
      <c r="E22" s="39" t="inlineStr">
        <is>
          <t>Qty (MT)</t>
        </is>
      </c>
      <c r="F22" s="39" t="inlineStr">
        <is>
          <t>% of pending</t>
        </is>
      </c>
      <c r="G22" s="39" t="inlineStr">
        <is>
          <t>Oldest (days)</t>
        </is>
      </c>
      <c r="I22" s="39" t="inlineStr">
        <is>
          <t>Month</t>
        </is>
      </c>
      <c r="J22" s="39" t="inlineStr">
        <is>
          <t>Vessels started</t>
        </is>
      </c>
      <c r="K22" s="39" t="inlineStr">
        <is>
          <t>Vessels cleared</t>
        </is>
      </c>
      <c r="L22" s="39" t="inlineStr">
        <is>
          <t>Qty cleared (MT)</t>
        </is>
      </c>
    </row>
    <row r="23">
      <c r="A23" s="40">
        <f>'GUIDE &amp; SETTINGS'!F4</f>
        <v/>
      </c>
      <c r="B23" s="49" t="n"/>
      <c r="C23" s="48" t="n"/>
      <c r="D23" s="17">
        <f>COUNTIFS('VESSEL REGISTER'!$H$6:$H$105,"PENDING",'VESSEL REGISTER'!$K$6:$K$105,A23)</f>
        <v/>
      </c>
      <c r="E23" s="19">
        <f>SUMIFS('VESSEL REGISTER'!$F$6:$F$105,'VESSEL REGISTER'!$H$6:$H$105,"PENDING",'VESSEL REGISTER'!$K$6:$K$105,A23)</f>
        <v/>
      </c>
      <c r="F23" s="18">
        <f>IF($E$6=0,0,D23/$E$6)</f>
        <v/>
      </c>
      <c r="G23" s="17">
        <f>IF(D23=0,0,SUMPRODUCT(MAX(('VESSEL REGISTER'!$H$6:$H$105="PENDING")*('VESSEL REGISTER'!$K$6:$K$105=A23)*N(+'VESSEL REGISTER'!$I$6:$I$105))))</f>
        <v/>
      </c>
      <c r="I23" s="16">
        <f>TEXT(DATE(YEAR(TODAY()),MONTH(TODAY())-5,1),"mmm yy")</f>
        <v/>
      </c>
      <c r="J23" s="17">
        <f>COUNTIFS('VESSEL REGISTER'!$E$6:$E$105,"&gt;="&amp;DATE(YEAR(TODAY()),MONTH(TODAY())-5,1),'VESSEL REGISTER'!$E$6:$E$105,"&lt;"&amp;DATE(YEAR(TODAY()),MONTH(TODAY())-4,1))</f>
        <v/>
      </c>
      <c r="K23" s="17">
        <f>COUNTIFS('VESSEL REGISTER'!$G$6:$G$105,"&gt;="&amp;DATE(YEAR(TODAY()),MONTH(TODAY())-5,1),'VESSEL REGISTER'!$G$6:$G$105,"&lt;"&amp;DATE(YEAR(TODAY()),MONTH(TODAY())-4,1))</f>
        <v/>
      </c>
      <c r="L23" s="19">
        <f>SUMIFS('VESSEL REGISTER'!$F$6:$F$105,'VESSEL REGISTER'!$G$6:$G$105,"&gt;="&amp;DATE(YEAR(TODAY()),MONTH(TODAY())-5,1),'VESSEL REGISTER'!$G$6:$G$105,"&lt;"&amp;DATE(YEAR(TODAY()),MONTH(TODAY())-4,1))</f>
        <v/>
      </c>
    </row>
    <row r="24">
      <c r="A24" s="40">
        <f>'GUIDE &amp; SETTINGS'!F5</f>
        <v/>
      </c>
      <c r="B24" s="49" t="n"/>
      <c r="C24" s="48" t="n"/>
      <c r="D24" s="17">
        <f>COUNTIFS('VESSEL REGISTER'!$H$6:$H$105,"PENDING",'VESSEL REGISTER'!$K$6:$K$105,A24)</f>
        <v/>
      </c>
      <c r="E24" s="19">
        <f>SUMIFS('VESSEL REGISTER'!$F$6:$F$105,'VESSEL REGISTER'!$H$6:$H$105,"PENDING",'VESSEL REGISTER'!$K$6:$K$105,A24)</f>
        <v/>
      </c>
      <c r="F24" s="18">
        <f>IF($E$6=0,0,D24/$E$6)</f>
        <v/>
      </c>
      <c r="G24" s="17">
        <f>IF(D24=0,0,SUMPRODUCT(MAX(('VESSEL REGISTER'!$H$6:$H$105="PENDING")*('VESSEL REGISTER'!$K$6:$K$105=A24)*N(+'VESSEL REGISTER'!$I$6:$I$105))))</f>
        <v/>
      </c>
      <c r="I24" s="16">
        <f>TEXT(DATE(YEAR(TODAY()),MONTH(TODAY())-4,1),"mmm yy")</f>
        <v/>
      </c>
      <c r="J24" s="17">
        <f>COUNTIFS('VESSEL REGISTER'!$E$6:$E$105,"&gt;="&amp;DATE(YEAR(TODAY()),MONTH(TODAY())-4,1),'VESSEL REGISTER'!$E$6:$E$105,"&lt;"&amp;DATE(YEAR(TODAY()),MONTH(TODAY())-3,1))</f>
        <v/>
      </c>
      <c r="K24" s="17">
        <f>COUNTIFS('VESSEL REGISTER'!$G$6:$G$105,"&gt;="&amp;DATE(YEAR(TODAY()),MONTH(TODAY())-4,1),'VESSEL REGISTER'!$G$6:$G$105,"&lt;"&amp;DATE(YEAR(TODAY()),MONTH(TODAY())-3,1))</f>
        <v/>
      </c>
      <c r="L24" s="19">
        <f>SUMIFS('VESSEL REGISTER'!$F$6:$F$105,'VESSEL REGISTER'!$G$6:$G$105,"&gt;="&amp;DATE(YEAR(TODAY()),MONTH(TODAY())-4,1),'VESSEL REGISTER'!$G$6:$G$105,"&lt;"&amp;DATE(YEAR(TODAY()),MONTH(TODAY())-3,1))</f>
        <v/>
      </c>
    </row>
    <row r="25">
      <c r="A25" s="40">
        <f>'GUIDE &amp; SETTINGS'!F6</f>
        <v/>
      </c>
      <c r="B25" s="49" t="n"/>
      <c r="C25" s="48" t="n"/>
      <c r="D25" s="17">
        <f>COUNTIFS('VESSEL REGISTER'!$H$6:$H$105,"PENDING",'VESSEL REGISTER'!$K$6:$K$105,A25)</f>
        <v/>
      </c>
      <c r="E25" s="19">
        <f>SUMIFS('VESSEL REGISTER'!$F$6:$F$105,'VESSEL REGISTER'!$H$6:$H$105,"PENDING",'VESSEL REGISTER'!$K$6:$K$105,A25)</f>
        <v/>
      </c>
      <c r="F25" s="18">
        <f>IF($E$6=0,0,D25/$E$6)</f>
        <v/>
      </c>
      <c r="G25" s="17">
        <f>IF(D25=0,0,SUMPRODUCT(MAX(('VESSEL REGISTER'!$H$6:$H$105="PENDING")*('VESSEL REGISTER'!$K$6:$K$105=A25)*N(+'VESSEL REGISTER'!$I$6:$I$105))))</f>
        <v/>
      </c>
      <c r="I25" s="16">
        <f>TEXT(DATE(YEAR(TODAY()),MONTH(TODAY())-3,1),"mmm yy")</f>
        <v/>
      </c>
      <c r="J25" s="17">
        <f>COUNTIFS('VESSEL REGISTER'!$E$6:$E$105,"&gt;="&amp;DATE(YEAR(TODAY()),MONTH(TODAY())-3,1),'VESSEL REGISTER'!$E$6:$E$105,"&lt;"&amp;DATE(YEAR(TODAY()),MONTH(TODAY())-2,1))</f>
        <v/>
      </c>
      <c r="K25" s="17">
        <f>COUNTIFS('VESSEL REGISTER'!$G$6:$G$105,"&gt;="&amp;DATE(YEAR(TODAY()),MONTH(TODAY())-3,1),'VESSEL REGISTER'!$G$6:$G$105,"&lt;"&amp;DATE(YEAR(TODAY()),MONTH(TODAY())-2,1))</f>
        <v/>
      </c>
      <c r="L25" s="19">
        <f>SUMIFS('VESSEL REGISTER'!$F$6:$F$105,'VESSEL REGISTER'!$G$6:$G$105,"&gt;="&amp;DATE(YEAR(TODAY()),MONTH(TODAY())-3,1),'VESSEL REGISTER'!$G$6:$G$105,"&lt;"&amp;DATE(YEAR(TODAY()),MONTH(TODAY())-2,1))</f>
        <v/>
      </c>
    </row>
    <row r="26">
      <c r="A26" s="40">
        <f>'GUIDE &amp; SETTINGS'!F7</f>
        <v/>
      </c>
      <c r="B26" s="49" t="n"/>
      <c r="C26" s="48" t="n"/>
      <c r="D26" s="17">
        <f>COUNTIFS('VESSEL REGISTER'!$H$6:$H$105,"PENDING",'VESSEL REGISTER'!$K$6:$K$105,A26)</f>
        <v/>
      </c>
      <c r="E26" s="19">
        <f>SUMIFS('VESSEL REGISTER'!$F$6:$F$105,'VESSEL REGISTER'!$H$6:$H$105,"PENDING",'VESSEL REGISTER'!$K$6:$K$105,A26)</f>
        <v/>
      </c>
      <c r="F26" s="18">
        <f>IF($E$6=0,0,D26/$E$6)</f>
        <v/>
      </c>
      <c r="G26" s="17">
        <f>IF(D26=0,0,SUMPRODUCT(MAX(('VESSEL REGISTER'!$H$6:$H$105="PENDING")*('VESSEL REGISTER'!$K$6:$K$105=A26)*N(+'VESSEL REGISTER'!$I$6:$I$105))))</f>
        <v/>
      </c>
      <c r="I26" s="16">
        <f>TEXT(DATE(YEAR(TODAY()),MONTH(TODAY())-2,1),"mmm yy")</f>
        <v/>
      </c>
      <c r="J26" s="17">
        <f>COUNTIFS('VESSEL REGISTER'!$E$6:$E$105,"&gt;="&amp;DATE(YEAR(TODAY()),MONTH(TODAY())-2,1),'VESSEL REGISTER'!$E$6:$E$105,"&lt;"&amp;DATE(YEAR(TODAY()),MONTH(TODAY())-1,1))</f>
        <v/>
      </c>
      <c r="K26" s="17">
        <f>COUNTIFS('VESSEL REGISTER'!$G$6:$G$105,"&gt;="&amp;DATE(YEAR(TODAY()),MONTH(TODAY())-2,1),'VESSEL REGISTER'!$G$6:$G$105,"&lt;"&amp;DATE(YEAR(TODAY()),MONTH(TODAY())-1,1))</f>
        <v/>
      </c>
      <c r="L26" s="19">
        <f>SUMIFS('VESSEL REGISTER'!$F$6:$F$105,'VESSEL REGISTER'!$G$6:$G$105,"&gt;="&amp;DATE(YEAR(TODAY()),MONTH(TODAY())-2,1),'VESSEL REGISTER'!$G$6:$G$105,"&lt;"&amp;DATE(YEAR(TODAY()),MONTH(TODAY())-1,1))</f>
        <v/>
      </c>
    </row>
    <row r="27">
      <c r="A27" s="40">
        <f>'GUIDE &amp; SETTINGS'!F8</f>
        <v/>
      </c>
      <c r="B27" s="49" t="n"/>
      <c r="C27" s="48" t="n"/>
      <c r="D27" s="17">
        <f>COUNTIFS('VESSEL REGISTER'!$H$6:$H$105,"PENDING",'VESSEL REGISTER'!$K$6:$K$105,A27)</f>
        <v/>
      </c>
      <c r="E27" s="19">
        <f>SUMIFS('VESSEL REGISTER'!$F$6:$F$105,'VESSEL REGISTER'!$H$6:$H$105,"PENDING",'VESSEL REGISTER'!$K$6:$K$105,A27)</f>
        <v/>
      </c>
      <c r="F27" s="18">
        <f>IF($E$6=0,0,D27/$E$6)</f>
        <v/>
      </c>
      <c r="G27" s="17">
        <f>IF(D27=0,0,SUMPRODUCT(MAX(('VESSEL REGISTER'!$H$6:$H$105="PENDING")*('VESSEL REGISTER'!$K$6:$K$105=A27)*N(+'VESSEL REGISTER'!$I$6:$I$105))))</f>
        <v/>
      </c>
      <c r="I27" s="16">
        <f>TEXT(DATE(YEAR(TODAY()),MONTH(TODAY())-1,1),"mmm yy")</f>
        <v/>
      </c>
      <c r="J27" s="17">
        <f>COUNTIFS('VESSEL REGISTER'!$E$6:$E$105,"&gt;="&amp;DATE(YEAR(TODAY()),MONTH(TODAY())-1,1),'VESSEL REGISTER'!$E$6:$E$105,"&lt;"&amp;DATE(YEAR(TODAY()),MONTH(TODAY())-0,1))</f>
        <v/>
      </c>
      <c r="K27" s="17">
        <f>COUNTIFS('VESSEL REGISTER'!$G$6:$G$105,"&gt;="&amp;DATE(YEAR(TODAY()),MONTH(TODAY())-1,1),'VESSEL REGISTER'!$G$6:$G$105,"&lt;"&amp;DATE(YEAR(TODAY()),MONTH(TODAY())-0,1))</f>
        <v/>
      </c>
      <c r="L27" s="19">
        <f>SUMIFS('VESSEL REGISTER'!$F$6:$F$105,'VESSEL REGISTER'!$G$6:$G$105,"&gt;="&amp;DATE(YEAR(TODAY()),MONTH(TODAY())-1,1),'VESSEL REGISTER'!$G$6:$G$105,"&lt;"&amp;DATE(YEAR(TODAY()),MONTH(TODAY())-0,1))</f>
        <v/>
      </c>
    </row>
    <row r="28">
      <c r="A28" s="40">
        <f>'GUIDE &amp; SETTINGS'!F9</f>
        <v/>
      </c>
      <c r="B28" s="49" t="n"/>
      <c r="C28" s="48" t="n"/>
      <c r="D28" s="17">
        <f>COUNTIFS('VESSEL REGISTER'!$H$6:$H$105,"PENDING",'VESSEL REGISTER'!$K$6:$K$105,A28)</f>
        <v/>
      </c>
      <c r="E28" s="19">
        <f>SUMIFS('VESSEL REGISTER'!$F$6:$F$105,'VESSEL REGISTER'!$H$6:$H$105,"PENDING",'VESSEL REGISTER'!$K$6:$K$105,A28)</f>
        <v/>
      </c>
      <c r="F28" s="18">
        <f>IF($E$6=0,0,D28/$E$6)</f>
        <v/>
      </c>
      <c r="G28" s="17">
        <f>IF(D28=0,0,SUMPRODUCT(MAX(('VESSEL REGISTER'!$H$6:$H$105="PENDING")*('VESSEL REGISTER'!$K$6:$K$105=A28)*N(+'VESSEL REGISTER'!$I$6:$I$105))))</f>
        <v/>
      </c>
      <c r="I28" s="16">
        <f>TEXT(DATE(YEAR(TODAY()),MONTH(TODAY())-0,1),"mmm yy")</f>
        <v/>
      </c>
      <c r="J28" s="17">
        <f>COUNTIFS('VESSEL REGISTER'!$E$6:$E$105,"&gt;="&amp;DATE(YEAR(TODAY()),MONTH(TODAY())-0,1),'VESSEL REGISTER'!$E$6:$E$105,"&lt;"&amp;DATE(YEAR(TODAY()),MONTH(TODAY())--1,1))</f>
        <v/>
      </c>
      <c r="K28" s="17">
        <f>COUNTIFS('VESSEL REGISTER'!$G$6:$G$105,"&gt;="&amp;DATE(YEAR(TODAY()),MONTH(TODAY())-0,1),'VESSEL REGISTER'!$G$6:$G$105,"&lt;"&amp;DATE(YEAR(TODAY()),MONTH(TODAY())--1,1))</f>
        <v/>
      </c>
      <c r="L28" s="19">
        <f>SUMIFS('VESSEL REGISTER'!$F$6:$F$105,'VESSEL REGISTER'!$G$6:$G$105,"&gt;="&amp;DATE(YEAR(TODAY()),MONTH(TODAY())-0,1),'VESSEL REGISTER'!$G$6:$G$105,"&lt;"&amp;DATE(YEAR(TODAY()),MONTH(TODAY())--1,1))</f>
        <v/>
      </c>
    </row>
    <row r="29" ht="15" customHeight="1">
      <c r="A29" s="40" t="inlineStr">
        <is>
          <t>Reason not stated</t>
        </is>
      </c>
      <c r="B29" s="49" t="n"/>
      <c r="C29" s="48" t="n"/>
      <c r="D29" s="17">
        <f>$E$6-SUM(D23:D28)</f>
        <v/>
      </c>
      <c r="E29" s="19">
        <f>$I$6-SUM(E23:E28)</f>
        <v/>
      </c>
      <c r="F29" s="18">
        <f>IF($E$6=0,0,D29/$E$6)</f>
        <v/>
      </c>
      <c r="G29" s="17" t="n"/>
    </row>
    <row r="30"/>
    <row r="31" ht="15" customHeight="1">
      <c r="A31" s="38" t="inlineStr">
        <is>
          <t>VISUAL OVERVIEW</t>
        </is>
      </c>
      <c r="B31" s="49" t="n"/>
      <c r="C31" s="49" t="n"/>
      <c r="D31" s="49" t="n"/>
      <c r="E31" s="49" t="n"/>
      <c r="F31" s="49" t="n"/>
      <c r="G31" s="49" t="n"/>
      <c r="H31" s="49" t="n"/>
      <c r="I31" s="49" t="n"/>
      <c r="J31" s="49" t="n"/>
      <c r="K31" s="49" t="n"/>
      <c r="L31" s="49" t="n"/>
    </row>
    <row r="32"/>
    <row r="33"/>
    <row r="34"/>
    <row r="35"/>
    <row r="36"/>
    <row r="37"/>
    <row r="38"/>
    <row r="39"/>
    <row r="40"/>
    <row r="41"/>
    <row r="42"/>
    <row r="43"/>
    <row r="44"/>
    <row r="45"/>
    <row r="46"/>
    <row r="47"/>
    <row r="48" ht="15" customHeight="1">
      <c r="A48" s="38" t="inlineStr">
        <is>
          <t>PENDING VESSELS - OLDEST FIRST (ACTION LIST)</t>
        </is>
      </c>
      <c r="B48" s="49" t="n"/>
      <c r="C48" s="49" t="n"/>
      <c r="D48" s="49" t="n"/>
      <c r="E48" s="49" t="n"/>
      <c r="F48" s="49" t="n"/>
      <c r="G48" s="49" t="n"/>
      <c r="H48" s="49" t="n"/>
      <c r="I48" s="49" t="n"/>
      <c r="J48" s="49" t="n"/>
      <c r="K48" s="49" t="n"/>
      <c r="L48" s="49" t="n"/>
    </row>
    <row r="49" ht="30" customHeight="1">
      <c r="A49" s="39" t="inlineStr">
        <is>
          <t>#</t>
        </is>
      </c>
      <c r="B49" s="39" t="inlineStr">
        <is>
          <t>Vessel</t>
        </is>
      </c>
      <c r="C49" s="48" t="n"/>
      <c r="D49" s="39" t="inlineStr">
        <is>
          <t>Product</t>
        </is>
      </c>
      <c r="E49" s="39" t="inlineStr">
        <is>
          <t>Qty (MT)</t>
        </is>
      </c>
      <c r="F49" s="39" t="inlineStr">
        <is>
          <t>Days pending</t>
        </is>
      </c>
      <c r="G49" s="39" t="inlineStr">
        <is>
          <t>Ageing</t>
        </is>
      </c>
      <c r="H49" s="39" t="inlineStr">
        <is>
          <t>Pending reason</t>
        </is>
      </c>
      <c r="I49" s="48" t="n"/>
      <c r="J49" s="39" t="inlineStr">
        <is>
          <t>Outstanding items / remarks</t>
        </is>
      </c>
      <c r="K49" s="48" t="n"/>
      <c r="L49" s="39" t="inlineStr">
        <is>
          <t>Action owner</t>
        </is>
      </c>
    </row>
    <row r="50" ht="27.75" customHeight="1">
      <c r="A50" s="23">
        <f>IF(ISNUMBER(MATCH(1,'VESSEL REGISTER'!$O$6:$O$105,0)),1,"")</f>
        <v/>
      </c>
      <c r="B50" s="41">
        <f>IF(ISNUMBER(MATCH(1,'VESSEL REGISTER'!$O$6:$O$105,0)),INDEX('VESSEL REGISTER'!$B$6:$B$105,MATCH(1,'VESSEL REGISTER'!$O$6:$O$105,0))&amp;"","")</f>
        <v/>
      </c>
      <c r="C50" s="48" t="n"/>
      <c r="D50" s="24">
        <f>IF(ISNUMBER(MATCH(1,'VESSEL REGISTER'!$O$6:$O$105,0)),INDEX('VESSEL REGISTER'!$C$6:$C$105,MATCH(1,'VESSEL REGISTER'!$O$6:$O$105,0))&amp;"","")</f>
        <v/>
      </c>
      <c r="E50" s="19">
        <f>IF(ISNUMBER(MATCH(1,'VESSEL REGISTER'!$O$6:$O$105,0)),INDEX('VESSEL REGISTER'!$F$6:$F$105,MATCH(1,'VESSEL REGISTER'!$O$6:$O$105,0)),"")</f>
        <v/>
      </c>
      <c r="F50" s="24">
        <f>IF(ISNUMBER(MATCH(1,'VESSEL REGISTER'!$O$6:$O$105,0)),INDEX('VESSEL REGISTER'!$I$6:$I$105,MATCH(1,'VESSEL REGISTER'!$O$6:$O$105,0)),"")</f>
        <v/>
      </c>
      <c r="G50" s="24">
        <f>IF(ISNUMBER(MATCH(1,'VESSEL REGISTER'!$O$6:$O$105,0)),INDEX('VESSEL REGISTER'!$J$6:$J$105,MATCH(1,'VESSEL REGISTER'!$O$6:$O$105,0))&amp;"","")</f>
        <v/>
      </c>
      <c r="H50" s="41">
        <f>IF(ISNUMBER(MATCH(1,'VESSEL REGISTER'!$O$6:$O$105,0)),INDEX('VESSEL REGISTER'!$K$6:$K$105,MATCH(1,'VESSEL REGISTER'!$O$6:$O$105,0))&amp;"","")</f>
        <v/>
      </c>
      <c r="I50" s="48" t="n"/>
      <c r="J50" s="41">
        <f>IF(ISNUMBER(MATCH(1,'VESSEL REGISTER'!$O$6:$O$105,0)),INDEX('VESSEL REGISTER'!$L$6:$L$105,MATCH(1,'VESSEL REGISTER'!$O$6:$O$105,0))&amp;"","")</f>
        <v/>
      </c>
      <c r="K50" s="48" t="n"/>
      <c r="L50" s="24">
        <f>IF(ISNUMBER(MATCH(1,'VESSEL REGISTER'!$O$6:$O$105,0)),INDEX('VESSEL REGISTER'!$M$6:$M$105,MATCH(1,'VESSEL REGISTER'!$O$6:$O$105,0))&amp;"","")</f>
        <v/>
      </c>
    </row>
    <row r="51" ht="27.75" customHeight="1">
      <c r="A51" s="23">
        <f>IF(ISNUMBER(MATCH(2,'VESSEL REGISTER'!$O$6:$O$105,0)),2,"")</f>
        <v/>
      </c>
      <c r="B51" s="41">
        <f>IF(ISNUMBER(MATCH(2,'VESSEL REGISTER'!$O$6:$O$105,0)),INDEX('VESSEL REGISTER'!$B$6:$B$105,MATCH(2,'VESSEL REGISTER'!$O$6:$O$105,0))&amp;"","")</f>
        <v/>
      </c>
      <c r="C51" s="48" t="n"/>
      <c r="D51" s="24">
        <f>IF(ISNUMBER(MATCH(2,'VESSEL REGISTER'!$O$6:$O$105,0)),INDEX('VESSEL REGISTER'!$C$6:$C$105,MATCH(2,'VESSEL REGISTER'!$O$6:$O$105,0))&amp;"","")</f>
        <v/>
      </c>
      <c r="E51" s="19">
        <f>IF(ISNUMBER(MATCH(2,'VESSEL REGISTER'!$O$6:$O$105,0)),INDEX('VESSEL REGISTER'!$F$6:$F$105,MATCH(2,'VESSEL REGISTER'!$O$6:$O$105,0)),"")</f>
        <v/>
      </c>
      <c r="F51" s="24">
        <f>IF(ISNUMBER(MATCH(2,'VESSEL REGISTER'!$O$6:$O$105,0)),INDEX('VESSEL REGISTER'!$I$6:$I$105,MATCH(2,'VESSEL REGISTER'!$O$6:$O$105,0)),"")</f>
        <v/>
      </c>
      <c r="G51" s="24">
        <f>IF(ISNUMBER(MATCH(2,'VESSEL REGISTER'!$O$6:$O$105,0)),INDEX('VESSEL REGISTER'!$J$6:$J$105,MATCH(2,'VESSEL REGISTER'!$O$6:$O$105,0))&amp;"","")</f>
        <v/>
      </c>
      <c r="H51" s="41">
        <f>IF(ISNUMBER(MATCH(2,'VESSEL REGISTER'!$O$6:$O$105,0)),INDEX('VESSEL REGISTER'!$K$6:$K$105,MATCH(2,'VESSEL REGISTER'!$O$6:$O$105,0))&amp;"","")</f>
        <v/>
      </c>
      <c r="I51" s="48" t="n"/>
      <c r="J51" s="41">
        <f>IF(ISNUMBER(MATCH(2,'VESSEL REGISTER'!$O$6:$O$105,0)),INDEX('VESSEL REGISTER'!$L$6:$L$105,MATCH(2,'VESSEL REGISTER'!$O$6:$O$105,0))&amp;"","")</f>
        <v/>
      </c>
      <c r="K51" s="48" t="n"/>
      <c r="L51" s="24">
        <f>IF(ISNUMBER(MATCH(2,'VESSEL REGISTER'!$O$6:$O$105,0)),INDEX('VESSEL REGISTER'!$M$6:$M$105,MATCH(2,'VESSEL REGISTER'!$O$6:$O$105,0))&amp;"","")</f>
        <v/>
      </c>
    </row>
    <row r="52" ht="27.75" customHeight="1">
      <c r="A52" s="23">
        <f>IF(ISNUMBER(MATCH(3,'VESSEL REGISTER'!$O$6:$O$105,0)),3,"")</f>
        <v/>
      </c>
      <c r="B52" s="41">
        <f>IF(ISNUMBER(MATCH(3,'VESSEL REGISTER'!$O$6:$O$105,0)),INDEX('VESSEL REGISTER'!$B$6:$B$105,MATCH(3,'VESSEL REGISTER'!$O$6:$O$105,0))&amp;"","")</f>
        <v/>
      </c>
      <c r="C52" s="48" t="n"/>
      <c r="D52" s="24">
        <f>IF(ISNUMBER(MATCH(3,'VESSEL REGISTER'!$O$6:$O$105,0)),INDEX('VESSEL REGISTER'!$C$6:$C$105,MATCH(3,'VESSEL REGISTER'!$O$6:$O$105,0))&amp;"","")</f>
        <v/>
      </c>
      <c r="E52" s="19">
        <f>IF(ISNUMBER(MATCH(3,'VESSEL REGISTER'!$O$6:$O$105,0)),INDEX('VESSEL REGISTER'!$F$6:$F$105,MATCH(3,'VESSEL REGISTER'!$O$6:$O$105,0)),"")</f>
        <v/>
      </c>
      <c r="F52" s="24">
        <f>IF(ISNUMBER(MATCH(3,'VESSEL REGISTER'!$O$6:$O$105,0)),INDEX('VESSEL REGISTER'!$I$6:$I$105,MATCH(3,'VESSEL REGISTER'!$O$6:$O$105,0)),"")</f>
        <v/>
      </c>
      <c r="G52" s="24">
        <f>IF(ISNUMBER(MATCH(3,'VESSEL REGISTER'!$O$6:$O$105,0)),INDEX('VESSEL REGISTER'!$J$6:$J$105,MATCH(3,'VESSEL REGISTER'!$O$6:$O$105,0))&amp;"","")</f>
        <v/>
      </c>
      <c r="H52" s="41">
        <f>IF(ISNUMBER(MATCH(3,'VESSEL REGISTER'!$O$6:$O$105,0)),INDEX('VESSEL REGISTER'!$K$6:$K$105,MATCH(3,'VESSEL REGISTER'!$O$6:$O$105,0))&amp;"","")</f>
        <v/>
      </c>
      <c r="I52" s="48" t="n"/>
      <c r="J52" s="41">
        <f>IF(ISNUMBER(MATCH(3,'VESSEL REGISTER'!$O$6:$O$105,0)),INDEX('VESSEL REGISTER'!$L$6:$L$105,MATCH(3,'VESSEL REGISTER'!$O$6:$O$105,0))&amp;"","")</f>
        <v/>
      </c>
      <c r="K52" s="48" t="n"/>
      <c r="L52" s="24">
        <f>IF(ISNUMBER(MATCH(3,'VESSEL REGISTER'!$O$6:$O$105,0)),INDEX('VESSEL REGISTER'!$M$6:$M$105,MATCH(3,'VESSEL REGISTER'!$O$6:$O$105,0))&amp;"","")</f>
        <v/>
      </c>
    </row>
    <row r="53" ht="27.75" customHeight="1">
      <c r="A53" s="23">
        <f>IF(ISNUMBER(MATCH(4,'VESSEL REGISTER'!$O$6:$O$105,0)),4,"")</f>
        <v/>
      </c>
      <c r="B53" s="41">
        <f>IF(ISNUMBER(MATCH(4,'VESSEL REGISTER'!$O$6:$O$105,0)),INDEX('VESSEL REGISTER'!$B$6:$B$105,MATCH(4,'VESSEL REGISTER'!$O$6:$O$105,0))&amp;"","")</f>
        <v/>
      </c>
      <c r="C53" s="48" t="n"/>
      <c r="D53" s="24">
        <f>IF(ISNUMBER(MATCH(4,'VESSEL REGISTER'!$O$6:$O$105,0)),INDEX('VESSEL REGISTER'!$C$6:$C$105,MATCH(4,'VESSEL REGISTER'!$O$6:$O$105,0))&amp;"","")</f>
        <v/>
      </c>
      <c r="E53" s="19">
        <f>IF(ISNUMBER(MATCH(4,'VESSEL REGISTER'!$O$6:$O$105,0)),INDEX('VESSEL REGISTER'!$F$6:$F$105,MATCH(4,'VESSEL REGISTER'!$O$6:$O$105,0)),"")</f>
        <v/>
      </c>
      <c r="F53" s="24">
        <f>IF(ISNUMBER(MATCH(4,'VESSEL REGISTER'!$O$6:$O$105,0)),INDEX('VESSEL REGISTER'!$I$6:$I$105,MATCH(4,'VESSEL REGISTER'!$O$6:$O$105,0)),"")</f>
        <v/>
      </c>
      <c r="G53" s="24">
        <f>IF(ISNUMBER(MATCH(4,'VESSEL REGISTER'!$O$6:$O$105,0)),INDEX('VESSEL REGISTER'!$J$6:$J$105,MATCH(4,'VESSEL REGISTER'!$O$6:$O$105,0))&amp;"","")</f>
        <v/>
      </c>
      <c r="H53" s="41">
        <f>IF(ISNUMBER(MATCH(4,'VESSEL REGISTER'!$O$6:$O$105,0)),INDEX('VESSEL REGISTER'!$K$6:$K$105,MATCH(4,'VESSEL REGISTER'!$O$6:$O$105,0))&amp;"","")</f>
        <v/>
      </c>
      <c r="I53" s="48" t="n"/>
      <c r="J53" s="41">
        <f>IF(ISNUMBER(MATCH(4,'VESSEL REGISTER'!$O$6:$O$105,0)),INDEX('VESSEL REGISTER'!$L$6:$L$105,MATCH(4,'VESSEL REGISTER'!$O$6:$O$105,0))&amp;"","")</f>
        <v/>
      </c>
      <c r="K53" s="48" t="n"/>
      <c r="L53" s="24">
        <f>IF(ISNUMBER(MATCH(4,'VESSEL REGISTER'!$O$6:$O$105,0)),INDEX('VESSEL REGISTER'!$M$6:$M$105,MATCH(4,'VESSEL REGISTER'!$O$6:$O$105,0))&amp;"","")</f>
        <v/>
      </c>
    </row>
    <row r="54" ht="27.75" customHeight="1">
      <c r="A54" s="23">
        <f>IF(ISNUMBER(MATCH(5,'VESSEL REGISTER'!$O$6:$O$105,0)),5,"")</f>
        <v/>
      </c>
      <c r="B54" s="41">
        <f>IF(ISNUMBER(MATCH(5,'VESSEL REGISTER'!$O$6:$O$105,0)),INDEX('VESSEL REGISTER'!$B$6:$B$105,MATCH(5,'VESSEL REGISTER'!$O$6:$O$105,0))&amp;"","")</f>
        <v/>
      </c>
      <c r="C54" s="48" t="n"/>
      <c r="D54" s="24">
        <f>IF(ISNUMBER(MATCH(5,'VESSEL REGISTER'!$O$6:$O$105,0)),INDEX('VESSEL REGISTER'!$C$6:$C$105,MATCH(5,'VESSEL REGISTER'!$O$6:$O$105,0))&amp;"","")</f>
        <v/>
      </c>
      <c r="E54" s="19">
        <f>IF(ISNUMBER(MATCH(5,'VESSEL REGISTER'!$O$6:$O$105,0)),INDEX('VESSEL REGISTER'!$F$6:$F$105,MATCH(5,'VESSEL REGISTER'!$O$6:$O$105,0)),"")</f>
        <v/>
      </c>
      <c r="F54" s="24">
        <f>IF(ISNUMBER(MATCH(5,'VESSEL REGISTER'!$O$6:$O$105,0)),INDEX('VESSEL REGISTER'!$I$6:$I$105,MATCH(5,'VESSEL REGISTER'!$O$6:$O$105,0)),"")</f>
        <v/>
      </c>
      <c r="G54" s="24">
        <f>IF(ISNUMBER(MATCH(5,'VESSEL REGISTER'!$O$6:$O$105,0)),INDEX('VESSEL REGISTER'!$J$6:$J$105,MATCH(5,'VESSEL REGISTER'!$O$6:$O$105,0))&amp;"","")</f>
        <v/>
      </c>
      <c r="H54" s="41">
        <f>IF(ISNUMBER(MATCH(5,'VESSEL REGISTER'!$O$6:$O$105,0)),INDEX('VESSEL REGISTER'!$K$6:$K$105,MATCH(5,'VESSEL REGISTER'!$O$6:$O$105,0))&amp;"","")</f>
        <v/>
      </c>
      <c r="I54" s="48" t="n"/>
      <c r="J54" s="41">
        <f>IF(ISNUMBER(MATCH(5,'VESSEL REGISTER'!$O$6:$O$105,0)),INDEX('VESSEL REGISTER'!$L$6:$L$105,MATCH(5,'VESSEL REGISTER'!$O$6:$O$105,0))&amp;"","")</f>
        <v/>
      </c>
      <c r="K54" s="48" t="n"/>
      <c r="L54" s="24">
        <f>IF(ISNUMBER(MATCH(5,'VESSEL REGISTER'!$O$6:$O$105,0)),INDEX('VESSEL REGISTER'!$M$6:$M$105,MATCH(5,'VESSEL REGISTER'!$O$6:$O$105,0))&amp;"","")</f>
        <v/>
      </c>
    </row>
    <row r="55" ht="27.75" customHeight="1">
      <c r="A55" s="23">
        <f>IF(ISNUMBER(MATCH(6,'VESSEL REGISTER'!$O$6:$O$105,0)),6,"")</f>
        <v/>
      </c>
      <c r="B55" s="41">
        <f>IF(ISNUMBER(MATCH(6,'VESSEL REGISTER'!$O$6:$O$105,0)),INDEX('VESSEL REGISTER'!$B$6:$B$105,MATCH(6,'VESSEL REGISTER'!$O$6:$O$105,0))&amp;"","")</f>
        <v/>
      </c>
      <c r="C55" s="48" t="n"/>
      <c r="D55" s="24">
        <f>IF(ISNUMBER(MATCH(6,'VESSEL REGISTER'!$O$6:$O$105,0)),INDEX('VESSEL REGISTER'!$C$6:$C$105,MATCH(6,'VESSEL REGISTER'!$O$6:$O$105,0))&amp;"","")</f>
        <v/>
      </c>
      <c r="E55" s="19">
        <f>IF(ISNUMBER(MATCH(6,'VESSEL REGISTER'!$O$6:$O$105,0)),INDEX('VESSEL REGISTER'!$F$6:$F$105,MATCH(6,'VESSEL REGISTER'!$O$6:$O$105,0)),"")</f>
        <v/>
      </c>
      <c r="F55" s="24">
        <f>IF(ISNUMBER(MATCH(6,'VESSEL REGISTER'!$O$6:$O$105,0)),INDEX('VESSEL REGISTER'!$I$6:$I$105,MATCH(6,'VESSEL REGISTER'!$O$6:$O$105,0)),"")</f>
        <v/>
      </c>
      <c r="G55" s="24">
        <f>IF(ISNUMBER(MATCH(6,'VESSEL REGISTER'!$O$6:$O$105,0)),INDEX('VESSEL REGISTER'!$J$6:$J$105,MATCH(6,'VESSEL REGISTER'!$O$6:$O$105,0))&amp;"","")</f>
        <v/>
      </c>
      <c r="H55" s="41">
        <f>IF(ISNUMBER(MATCH(6,'VESSEL REGISTER'!$O$6:$O$105,0)),INDEX('VESSEL REGISTER'!$K$6:$K$105,MATCH(6,'VESSEL REGISTER'!$O$6:$O$105,0))&amp;"","")</f>
        <v/>
      </c>
      <c r="I55" s="48" t="n"/>
      <c r="J55" s="41">
        <f>IF(ISNUMBER(MATCH(6,'VESSEL REGISTER'!$O$6:$O$105,0)),INDEX('VESSEL REGISTER'!$L$6:$L$105,MATCH(6,'VESSEL REGISTER'!$O$6:$O$105,0))&amp;"","")</f>
        <v/>
      </c>
      <c r="K55" s="48" t="n"/>
      <c r="L55" s="24">
        <f>IF(ISNUMBER(MATCH(6,'VESSEL REGISTER'!$O$6:$O$105,0)),INDEX('VESSEL REGISTER'!$M$6:$M$105,MATCH(6,'VESSEL REGISTER'!$O$6:$O$105,0))&amp;"","")</f>
        <v/>
      </c>
    </row>
    <row r="56" ht="27.75" customHeight="1">
      <c r="A56" s="23">
        <f>IF(ISNUMBER(MATCH(7,'VESSEL REGISTER'!$O$6:$O$105,0)),7,"")</f>
        <v/>
      </c>
      <c r="B56" s="41">
        <f>IF(ISNUMBER(MATCH(7,'VESSEL REGISTER'!$O$6:$O$105,0)),INDEX('VESSEL REGISTER'!$B$6:$B$105,MATCH(7,'VESSEL REGISTER'!$O$6:$O$105,0))&amp;"","")</f>
        <v/>
      </c>
      <c r="C56" s="48" t="n"/>
      <c r="D56" s="24">
        <f>IF(ISNUMBER(MATCH(7,'VESSEL REGISTER'!$O$6:$O$105,0)),INDEX('VESSEL REGISTER'!$C$6:$C$105,MATCH(7,'VESSEL REGISTER'!$O$6:$O$105,0))&amp;"","")</f>
        <v/>
      </c>
      <c r="E56" s="19">
        <f>IF(ISNUMBER(MATCH(7,'VESSEL REGISTER'!$O$6:$O$105,0)),INDEX('VESSEL REGISTER'!$F$6:$F$105,MATCH(7,'VESSEL REGISTER'!$O$6:$O$105,0)),"")</f>
        <v/>
      </c>
      <c r="F56" s="24">
        <f>IF(ISNUMBER(MATCH(7,'VESSEL REGISTER'!$O$6:$O$105,0)),INDEX('VESSEL REGISTER'!$I$6:$I$105,MATCH(7,'VESSEL REGISTER'!$O$6:$O$105,0)),"")</f>
        <v/>
      </c>
      <c r="G56" s="24">
        <f>IF(ISNUMBER(MATCH(7,'VESSEL REGISTER'!$O$6:$O$105,0)),INDEX('VESSEL REGISTER'!$J$6:$J$105,MATCH(7,'VESSEL REGISTER'!$O$6:$O$105,0))&amp;"","")</f>
        <v/>
      </c>
      <c r="H56" s="41">
        <f>IF(ISNUMBER(MATCH(7,'VESSEL REGISTER'!$O$6:$O$105,0)),INDEX('VESSEL REGISTER'!$K$6:$K$105,MATCH(7,'VESSEL REGISTER'!$O$6:$O$105,0))&amp;"","")</f>
        <v/>
      </c>
      <c r="I56" s="48" t="n"/>
      <c r="J56" s="41">
        <f>IF(ISNUMBER(MATCH(7,'VESSEL REGISTER'!$O$6:$O$105,0)),INDEX('VESSEL REGISTER'!$L$6:$L$105,MATCH(7,'VESSEL REGISTER'!$O$6:$O$105,0))&amp;"","")</f>
        <v/>
      </c>
      <c r="K56" s="48" t="n"/>
      <c r="L56" s="24">
        <f>IF(ISNUMBER(MATCH(7,'VESSEL REGISTER'!$O$6:$O$105,0)),INDEX('VESSEL REGISTER'!$M$6:$M$105,MATCH(7,'VESSEL REGISTER'!$O$6:$O$105,0))&amp;"","")</f>
        <v/>
      </c>
    </row>
    <row r="57" ht="27.75" customHeight="1">
      <c r="A57" s="23">
        <f>IF(ISNUMBER(MATCH(8,'VESSEL REGISTER'!$O$6:$O$105,0)),8,"")</f>
        <v/>
      </c>
      <c r="B57" s="41">
        <f>IF(ISNUMBER(MATCH(8,'VESSEL REGISTER'!$O$6:$O$105,0)),INDEX('VESSEL REGISTER'!$B$6:$B$105,MATCH(8,'VESSEL REGISTER'!$O$6:$O$105,0))&amp;"","")</f>
        <v/>
      </c>
      <c r="C57" s="48" t="n"/>
      <c r="D57" s="24">
        <f>IF(ISNUMBER(MATCH(8,'VESSEL REGISTER'!$O$6:$O$105,0)),INDEX('VESSEL REGISTER'!$C$6:$C$105,MATCH(8,'VESSEL REGISTER'!$O$6:$O$105,0))&amp;"","")</f>
        <v/>
      </c>
      <c r="E57" s="19">
        <f>IF(ISNUMBER(MATCH(8,'VESSEL REGISTER'!$O$6:$O$105,0)),INDEX('VESSEL REGISTER'!$F$6:$F$105,MATCH(8,'VESSEL REGISTER'!$O$6:$O$105,0)),"")</f>
        <v/>
      </c>
      <c r="F57" s="24">
        <f>IF(ISNUMBER(MATCH(8,'VESSEL REGISTER'!$O$6:$O$105,0)),INDEX('VESSEL REGISTER'!$I$6:$I$105,MATCH(8,'VESSEL REGISTER'!$O$6:$O$105,0)),"")</f>
        <v/>
      </c>
      <c r="G57" s="24">
        <f>IF(ISNUMBER(MATCH(8,'VESSEL REGISTER'!$O$6:$O$105,0)),INDEX('VESSEL REGISTER'!$J$6:$J$105,MATCH(8,'VESSEL REGISTER'!$O$6:$O$105,0))&amp;"","")</f>
        <v/>
      </c>
      <c r="H57" s="41">
        <f>IF(ISNUMBER(MATCH(8,'VESSEL REGISTER'!$O$6:$O$105,0)),INDEX('VESSEL REGISTER'!$K$6:$K$105,MATCH(8,'VESSEL REGISTER'!$O$6:$O$105,0))&amp;"","")</f>
        <v/>
      </c>
      <c r="I57" s="48" t="n"/>
      <c r="J57" s="41">
        <f>IF(ISNUMBER(MATCH(8,'VESSEL REGISTER'!$O$6:$O$105,0)),INDEX('VESSEL REGISTER'!$L$6:$L$105,MATCH(8,'VESSEL REGISTER'!$O$6:$O$105,0))&amp;"","")</f>
        <v/>
      </c>
      <c r="K57" s="48" t="n"/>
      <c r="L57" s="24">
        <f>IF(ISNUMBER(MATCH(8,'VESSEL REGISTER'!$O$6:$O$105,0)),INDEX('VESSEL REGISTER'!$M$6:$M$105,MATCH(8,'VESSEL REGISTER'!$O$6:$O$105,0))&amp;"","")</f>
        <v/>
      </c>
    </row>
    <row r="58" ht="27.75" customHeight="1">
      <c r="A58" s="23">
        <f>IF(ISNUMBER(MATCH(9,'VESSEL REGISTER'!$O$6:$O$105,0)),9,"")</f>
        <v/>
      </c>
      <c r="B58" s="41">
        <f>IF(ISNUMBER(MATCH(9,'VESSEL REGISTER'!$O$6:$O$105,0)),INDEX('VESSEL REGISTER'!$B$6:$B$105,MATCH(9,'VESSEL REGISTER'!$O$6:$O$105,0))&amp;"","")</f>
        <v/>
      </c>
      <c r="C58" s="48" t="n"/>
      <c r="D58" s="24">
        <f>IF(ISNUMBER(MATCH(9,'VESSEL REGISTER'!$O$6:$O$105,0)),INDEX('VESSEL REGISTER'!$C$6:$C$105,MATCH(9,'VESSEL REGISTER'!$O$6:$O$105,0))&amp;"","")</f>
        <v/>
      </c>
      <c r="E58" s="19">
        <f>IF(ISNUMBER(MATCH(9,'VESSEL REGISTER'!$O$6:$O$105,0)),INDEX('VESSEL REGISTER'!$F$6:$F$105,MATCH(9,'VESSEL REGISTER'!$O$6:$O$105,0)),"")</f>
        <v/>
      </c>
      <c r="F58" s="24">
        <f>IF(ISNUMBER(MATCH(9,'VESSEL REGISTER'!$O$6:$O$105,0)),INDEX('VESSEL REGISTER'!$I$6:$I$105,MATCH(9,'VESSEL REGISTER'!$O$6:$O$105,0)),"")</f>
        <v/>
      </c>
      <c r="G58" s="24">
        <f>IF(ISNUMBER(MATCH(9,'VESSEL REGISTER'!$O$6:$O$105,0)),INDEX('VESSEL REGISTER'!$J$6:$J$105,MATCH(9,'VESSEL REGISTER'!$O$6:$O$105,0))&amp;"","")</f>
        <v/>
      </c>
      <c r="H58" s="41">
        <f>IF(ISNUMBER(MATCH(9,'VESSEL REGISTER'!$O$6:$O$105,0)),INDEX('VESSEL REGISTER'!$K$6:$K$105,MATCH(9,'VESSEL REGISTER'!$O$6:$O$105,0))&amp;"","")</f>
        <v/>
      </c>
      <c r="I58" s="48" t="n"/>
      <c r="J58" s="41">
        <f>IF(ISNUMBER(MATCH(9,'VESSEL REGISTER'!$O$6:$O$105,0)),INDEX('VESSEL REGISTER'!$L$6:$L$105,MATCH(9,'VESSEL REGISTER'!$O$6:$O$105,0))&amp;"","")</f>
        <v/>
      </c>
      <c r="K58" s="48" t="n"/>
      <c r="L58" s="24">
        <f>IF(ISNUMBER(MATCH(9,'VESSEL REGISTER'!$O$6:$O$105,0)),INDEX('VESSEL REGISTER'!$M$6:$M$105,MATCH(9,'VESSEL REGISTER'!$O$6:$O$105,0))&amp;"","")</f>
        <v/>
      </c>
    </row>
    <row r="59" ht="27.75" customHeight="1">
      <c r="A59" s="23">
        <f>IF(ISNUMBER(MATCH(10,'VESSEL REGISTER'!$O$6:$O$105,0)),10,"")</f>
        <v/>
      </c>
      <c r="B59" s="41">
        <f>IF(ISNUMBER(MATCH(10,'VESSEL REGISTER'!$O$6:$O$105,0)),INDEX('VESSEL REGISTER'!$B$6:$B$105,MATCH(10,'VESSEL REGISTER'!$O$6:$O$105,0))&amp;"","")</f>
        <v/>
      </c>
      <c r="C59" s="48" t="n"/>
      <c r="D59" s="24">
        <f>IF(ISNUMBER(MATCH(10,'VESSEL REGISTER'!$O$6:$O$105,0)),INDEX('VESSEL REGISTER'!$C$6:$C$105,MATCH(10,'VESSEL REGISTER'!$O$6:$O$105,0))&amp;"","")</f>
        <v/>
      </c>
      <c r="E59" s="19">
        <f>IF(ISNUMBER(MATCH(10,'VESSEL REGISTER'!$O$6:$O$105,0)),INDEX('VESSEL REGISTER'!$F$6:$F$105,MATCH(10,'VESSEL REGISTER'!$O$6:$O$105,0)),"")</f>
        <v/>
      </c>
      <c r="F59" s="24">
        <f>IF(ISNUMBER(MATCH(10,'VESSEL REGISTER'!$O$6:$O$105,0)),INDEX('VESSEL REGISTER'!$I$6:$I$105,MATCH(10,'VESSEL REGISTER'!$O$6:$O$105,0)),"")</f>
        <v/>
      </c>
      <c r="G59" s="24">
        <f>IF(ISNUMBER(MATCH(10,'VESSEL REGISTER'!$O$6:$O$105,0)),INDEX('VESSEL REGISTER'!$J$6:$J$105,MATCH(10,'VESSEL REGISTER'!$O$6:$O$105,0))&amp;"","")</f>
        <v/>
      </c>
      <c r="H59" s="41">
        <f>IF(ISNUMBER(MATCH(10,'VESSEL REGISTER'!$O$6:$O$105,0)),INDEX('VESSEL REGISTER'!$K$6:$K$105,MATCH(10,'VESSEL REGISTER'!$O$6:$O$105,0))&amp;"","")</f>
        <v/>
      </c>
      <c r="I59" s="48" t="n"/>
      <c r="J59" s="41">
        <f>IF(ISNUMBER(MATCH(10,'VESSEL REGISTER'!$O$6:$O$105,0)),INDEX('VESSEL REGISTER'!$L$6:$L$105,MATCH(10,'VESSEL REGISTER'!$O$6:$O$105,0))&amp;"","")</f>
        <v/>
      </c>
      <c r="K59" s="48" t="n"/>
      <c r="L59" s="24">
        <f>IF(ISNUMBER(MATCH(10,'VESSEL REGISTER'!$O$6:$O$105,0)),INDEX('VESSEL REGISTER'!$M$6:$M$105,MATCH(10,'VESSEL REGISTER'!$O$6:$O$105,0))&amp;"","")</f>
        <v/>
      </c>
    </row>
    <row r="60" ht="27.75" customHeight="1">
      <c r="A60" s="23">
        <f>IF(ISNUMBER(MATCH(11,'VESSEL REGISTER'!$O$6:$O$105,0)),11,"")</f>
        <v/>
      </c>
      <c r="B60" s="41">
        <f>IF(ISNUMBER(MATCH(11,'VESSEL REGISTER'!$O$6:$O$105,0)),INDEX('VESSEL REGISTER'!$B$6:$B$105,MATCH(11,'VESSEL REGISTER'!$O$6:$O$105,0))&amp;"","")</f>
        <v/>
      </c>
      <c r="C60" s="48" t="n"/>
      <c r="D60" s="24">
        <f>IF(ISNUMBER(MATCH(11,'VESSEL REGISTER'!$O$6:$O$105,0)),INDEX('VESSEL REGISTER'!$C$6:$C$105,MATCH(11,'VESSEL REGISTER'!$O$6:$O$105,0))&amp;"","")</f>
        <v/>
      </c>
      <c r="E60" s="19">
        <f>IF(ISNUMBER(MATCH(11,'VESSEL REGISTER'!$O$6:$O$105,0)),INDEX('VESSEL REGISTER'!$F$6:$F$105,MATCH(11,'VESSEL REGISTER'!$O$6:$O$105,0)),"")</f>
        <v/>
      </c>
      <c r="F60" s="24">
        <f>IF(ISNUMBER(MATCH(11,'VESSEL REGISTER'!$O$6:$O$105,0)),INDEX('VESSEL REGISTER'!$I$6:$I$105,MATCH(11,'VESSEL REGISTER'!$O$6:$O$105,0)),"")</f>
        <v/>
      </c>
      <c r="G60" s="24">
        <f>IF(ISNUMBER(MATCH(11,'VESSEL REGISTER'!$O$6:$O$105,0)),INDEX('VESSEL REGISTER'!$J$6:$J$105,MATCH(11,'VESSEL REGISTER'!$O$6:$O$105,0))&amp;"","")</f>
        <v/>
      </c>
      <c r="H60" s="41">
        <f>IF(ISNUMBER(MATCH(11,'VESSEL REGISTER'!$O$6:$O$105,0)),INDEX('VESSEL REGISTER'!$K$6:$K$105,MATCH(11,'VESSEL REGISTER'!$O$6:$O$105,0))&amp;"","")</f>
        <v/>
      </c>
      <c r="I60" s="48" t="n"/>
      <c r="J60" s="41">
        <f>IF(ISNUMBER(MATCH(11,'VESSEL REGISTER'!$O$6:$O$105,0)),INDEX('VESSEL REGISTER'!$L$6:$L$105,MATCH(11,'VESSEL REGISTER'!$O$6:$O$105,0))&amp;"","")</f>
        <v/>
      </c>
      <c r="K60" s="48" t="n"/>
      <c r="L60" s="24">
        <f>IF(ISNUMBER(MATCH(11,'VESSEL REGISTER'!$O$6:$O$105,0)),INDEX('VESSEL REGISTER'!$M$6:$M$105,MATCH(11,'VESSEL REGISTER'!$O$6:$O$105,0))&amp;"","")</f>
        <v/>
      </c>
    </row>
    <row r="61" ht="27.75" customHeight="1">
      <c r="A61" s="23">
        <f>IF(ISNUMBER(MATCH(12,'VESSEL REGISTER'!$O$6:$O$105,0)),12,"")</f>
        <v/>
      </c>
      <c r="B61" s="41">
        <f>IF(ISNUMBER(MATCH(12,'VESSEL REGISTER'!$O$6:$O$105,0)),INDEX('VESSEL REGISTER'!$B$6:$B$105,MATCH(12,'VESSEL REGISTER'!$O$6:$O$105,0))&amp;"","")</f>
        <v/>
      </c>
      <c r="C61" s="48" t="n"/>
      <c r="D61" s="24">
        <f>IF(ISNUMBER(MATCH(12,'VESSEL REGISTER'!$O$6:$O$105,0)),INDEX('VESSEL REGISTER'!$C$6:$C$105,MATCH(12,'VESSEL REGISTER'!$O$6:$O$105,0))&amp;"","")</f>
        <v/>
      </c>
      <c r="E61" s="19">
        <f>IF(ISNUMBER(MATCH(12,'VESSEL REGISTER'!$O$6:$O$105,0)),INDEX('VESSEL REGISTER'!$F$6:$F$105,MATCH(12,'VESSEL REGISTER'!$O$6:$O$105,0)),"")</f>
        <v/>
      </c>
      <c r="F61" s="24">
        <f>IF(ISNUMBER(MATCH(12,'VESSEL REGISTER'!$O$6:$O$105,0)),INDEX('VESSEL REGISTER'!$I$6:$I$105,MATCH(12,'VESSEL REGISTER'!$O$6:$O$105,0)),"")</f>
        <v/>
      </c>
      <c r="G61" s="24">
        <f>IF(ISNUMBER(MATCH(12,'VESSEL REGISTER'!$O$6:$O$105,0)),INDEX('VESSEL REGISTER'!$J$6:$J$105,MATCH(12,'VESSEL REGISTER'!$O$6:$O$105,0))&amp;"","")</f>
        <v/>
      </c>
      <c r="H61" s="41">
        <f>IF(ISNUMBER(MATCH(12,'VESSEL REGISTER'!$O$6:$O$105,0)),INDEX('VESSEL REGISTER'!$K$6:$K$105,MATCH(12,'VESSEL REGISTER'!$O$6:$O$105,0))&amp;"","")</f>
        <v/>
      </c>
      <c r="I61" s="48" t="n"/>
      <c r="J61" s="41">
        <f>IF(ISNUMBER(MATCH(12,'VESSEL REGISTER'!$O$6:$O$105,0)),INDEX('VESSEL REGISTER'!$L$6:$L$105,MATCH(12,'VESSEL REGISTER'!$O$6:$O$105,0))&amp;"","")</f>
        <v/>
      </c>
      <c r="K61" s="48" t="n"/>
      <c r="L61" s="24">
        <f>IF(ISNUMBER(MATCH(12,'VESSEL REGISTER'!$O$6:$O$105,0)),INDEX('VESSEL REGISTER'!$M$6:$M$105,MATCH(12,'VESSEL REGISTER'!$O$6:$O$105,0))&amp;"","")</f>
        <v/>
      </c>
    </row>
    <row r="62" ht="27.75" customHeight="1">
      <c r="A62" s="23">
        <f>IF(ISNUMBER(MATCH(13,'VESSEL REGISTER'!$O$6:$O$105,0)),13,"")</f>
        <v/>
      </c>
      <c r="B62" s="41">
        <f>IF(ISNUMBER(MATCH(13,'VESSEL REGISTER'!$O$6:$O$105,0)),INDEX('VESSEL REGISTER'!$B$6:$B$105,MATCH(13,'VESSEL REGISTER'!$O$6:$O$105,0))&amp;"","")</f>
        <v/>
      </c>
      <c r="C62" s="48" t="n"/>
      <c r="D62" s="24">
        <f>IF(ISNUMBER(MATCH(13,'VESSEL REGISTER'!$O$6:$O$105,0)),INDEX('VESSEL REGISTER'!$C$6:$C$105,MATCH(13,'VESSEL REGISTER'!$O$6:$O$105,0))&amp;"","")</f>
        <v/>
      </c>
      <c r="E62" s="19">
        <f>IF(ISNUMBER(MATCH(13,'VESSEL REGISTER'!$O$6:$O$105,0)),INDEX('VESSEL REGISTER'!$F$6:$F$105,MATCH(13,'VESSEL REGISTER'!$O$6:$O$105,0)),"")</f>
        <v/>
      </c>
      <c r="F62" s="24">
        <f>IF(ISNUMBER(MATCH(13,'VESSEL REGISTER'!$O$6:$O$105,0)),INDEX('VESSEL REGISTER'!$I$6:$I$105,MATCH(13,'VESSEL REGISTER'!$O$6:$O$105,0)),"")</f>
        <v/>
      </c>
      <c r="G62" s="24">
        <f>IF(ISNUMBER(MATCH(13,'VESSEL REGISTER'!$O$6:$O$105,0)),INDEX('VESSEL REGISTER'!$J$6:$J$105,MATCH(13,'VESSEL REGISTER'!$O$6:$O$105,0))&amp;"","")</f>
        <v/>
      </c>
      <c r="H62" s="41">
        <f>IF(ISNUMBER(MATCH(13,'VESSEL REGISTER'!$O$6:$O$105,0)),INDEX('VESSEL REGISTER'!$K$6:$K$105,MATCH(13,'VESSEL REGISTER'!$O$6:$O$105,0))&amp;"","")</f>
        <v/>
      </c>
      <c r="I62" s="48" t="n"/>
      <c r="J62" s="41">
        <f>IF(ISNUMBER(MATCH(13,'VESSEL REGISTER'!$O$6:$O$105,0)),INDEX('VESSEL REGISTER'!$L$6:$L$105,MATCH(13,'VESSEL REGISTER'!$O$6:$O$105,0))&amp;"","")</f>
        <v/>
      </c>
      <c r="K62" s="48" t="n"/>
      <c r="L62" s="24">
        <f>IF(ISNUMBER(MATCH(13,'VESSEL REGISTER'!$O$6:$O$105,0)),INDEX('VESSEL REGISTER'!$M$6:$M$105,MATCH(13,'VESSEL REGISTER'!$O$6:$O$105,0))&amp;"","")</f>
        <v/>
      </c>
    </row>
    <row r="63" ht="27.75" customHeight="1">
      <c r="A63" s="23">
        <f>IF(ISNUMBER(MATCH(14,'VESSEL REGISTER'!$O$6:$O$105,0)),14,"")</f>
        <v/>
      </c>
      <c r="B63" s="41">
        <f>IF(ISNUMBER(MATCH(14,'VESSEL REGISTER'!$O$6:$O$105,0)),INDEX('VESSEL REGISTER'!$B$6:$B$105,MATCH(14,'VESSEL REGISTER'!$O$6:$O$105,0))&amp;"","")</f>
        <v/>
      </c>
      <c r="C63" s="48" t="n"/>
      <c r="D63" s="24">
        <f>IF(ISNUMBER(MATCH(14,'VESSEL REGISTER'!$O$6:$O$105,0)),INDEX('VESSEL REGISTER'!$C$6:$C$105,MATCH(14,'VESSEL REGISTER'!$O$6:$O$105,0))&amp;"","")</f>
        <v/>
      </c>
      <c r="E63" s="19">
        <f>IF(ISNUMBER(MATCH(14,'VESSEL REGISTER'!$O$6:$O$105,0)),INDEX('VESSEL REGISTER'!$F$6:$F$105,MATCH(14,'VESSEL REGISTER'!$O$6:$O$105,0)),"")</f>
        <v/>
      </c>
      <c r="F63" s="24">
        <f>IF(ISNUMBER(MATCH(14,'VESSEL REGISTER'!$O$6:$O$105,0)),INDEX('VESSEL REGISTER'!$I$6:$I$105,MATCH(14,'VESSEL REGISTER'!$O$6:$O$105,0)),"")</f>
        <v/>
      </c>
      <c r="G63" s="24">
        <f>IF(ISNUMBER(MATCH(14,'VESSEL REGISTER'!$O$6:$O$105,0)),INDEX('VESSEL REGISTER'!$J$6:$J$105,MATCH(14,'VESSEL REGISTER'!$O$6:$O$105,0))&amp;"","")</f>
        <v/>
      </c>
      <c r="H63" s="41">
        <f>IF(ISNUMBER(MATCH(14,'VESSEL REGISTER'!$O$6:$O$105,0)),INDEX('VESSEL REGISTER'!$K$6:$K$105,MATCH(14,'VESSEL REGISTER'!$O$6:$O$105,0))&amp;"","")</f>
        <v/>
      </c>
      <c r="I63" s="48" t="n"/>
      <c r="J63" s="41">
        <f>IF(ISNUMBER(MATCH(14,'VESSEL REGISTER'!$O$6:$O$105,0)),INDEX('VESSEL REGISTER'!$L$6:$L$105,MATCH(14,'VESSEL REGISTER'!$O$6:$O$105,0))&amp;"","")</f>
        <v/>
      </c>
      <c r="K63" s="48" t="n"/>
      <c r="L63" s="24">
        <f>IF(ISNUMBER(MATCH(14,'VESSEL REGISTER'!$O$6:$O$105,0)),INDEX('VESSEL REGISTER'!$M$6:$M$105,MATCH(14,'VESSEL REGISTER'!$O$6:$O$105,0))&amp;"","")</f>
        <v/>
      </c>
    </row>
    <row r="64" ht="27.75" customHeight="1">
      <c r="A64" s="23">
        <f>IF(ISNUMBER(MATCH(15,'VESSEL REGISTER'!$O$6:$O$105,0)),15,"")</f>
        <v/>
      </c>
      <c r="B64" s="41">
        <f>IF(ISNUMBER(MATCH(15,'VESSEL REGISTER'!$O$6:$O$105,0)),INDEX('VESSEL REGISTER'!$B$6:$B$105,MATCH(15,'VESSEL REGISTER'!$O$6:$O$105,0))&amp;"","")</f>
        <v/>
      </c>
      <c r="C64" s="48" t="n"/>
      <c r="D64" s="24">
        <f>IF(ISNUMBER(MATCH(15,'VESSEL REGISTER'!$O$6:$O$105,0)),INDEX('VESSEL REGISTER'!$C$6:$C$105,MATCH(15,'VESSEL REGISTER'!$O$6:$O$105,0))&amp;"","")</f>
        <v/>
      </c>
      <c r="E64" s="19">
        <f>IF(ISNUMBER(MATCH(15,'VESSEL REGISTER'!$O$6:$O$105,0)),INDEX('VESSEL REGISTER'!$F$6:$F$105,MATCH(15,'VESSEL REGISTER'!$O$6:$O$105,0)),"")</f>
        <v/>
      </c>
      <c r="F64" s="24">
        <f>IF(ISNUMBER(MATCH(15,'VESSEL REGISTER'!$O$6:$O$105,0)),INDEX('VESSEL REGISTER'!$I$6:$I$105,MATCH(15,'VESSEL REGISTER'!$O$6:$O$105,0)),"")</f>
        <v/>
      </c>
      <c r="G64" s="24">
        <f>IF(ISNUMBER(MATCH(15,'VESSEL REGISTER'!$O$6:$O$105,0)),INDEX('VESSEL REGISTER'!$J$6:$J$105,MATCH(15,'VESSEL REGISTER'!$O$6:$O$105,0))&amp;"","")</f>
        <v/>
      </c>
      <c r="H64" s="41">
        <f>IF(ISNUMBER(MATCH(15,'VESSEL REGISTER'!$O$6:$O$105,0)),INDEX('VESSEL REGISTER'!$K$6:$K$105,MATCH(15,'VESSEL REGISTER'!$O$6:$O$105,0))&amp;"","")</f>
        <v/>
      </c>
      <c r="I64" s="48" t="n"/>
      <c r="J64" s="41">
        <f>IF(ISNUMBER(MATCH(15,'VESSEL REGISTER'!$O$6:$O$105,0)),INDEX('VESSEL REGISTER'!$L$6:$L$105,MATCH(15,'VESSEL REGISTER'!$O$6:$O$105,0))&amp;"","")</f>
        <v/>
      </c>
      <c r="K64" s="48" t="n"/>
      <c r="L64" s="24">
        <f>IF(ISNUMBER(MATCH(15,'VESSEL REGISTER'!$O$6:$O$105,0)),INDEX('VESSEL REGISTER'!$M$6:$M$105,MATCH(15,'VESSEL REGISTER'!$O$6:$O$105,0))&amp;"","")</f>
        <v/>
      </c>
    </row>
    <row r="65" ht="25.5" customHeight="1">
      <c r="A65" s="42">
        <f>"Showing up to 15 oldest pending vessels. Ageing: ON TRACK = up to "&amp;'GUIDE &amp; SETTINGS'!$C$6&amp;" days; ATTENTION = over "&amp;'GUIDE &amp; SETTINGS'!$C$6&amp;" days; CRITICAL = over "&amp;'GUIDE &amp; SETTINGS'!$C$7&amp;" days. Days = today minus start date. Source: VESSEL REGISTER sheet."</f>
        <v/>
      </c>
    </row>
  </sheetData>
  <mergeCells count="103">
    <mergeCell ref="H53:I53"/>
    <mergeCell ref="C6:D6"/>
    <mergeCell ref="H55:I55"/>
    <mergeCell ref="J59:K59"/>
    <mergeCell ref="A26:C26"/>
    <mergeCell ref="J60:K60"/>
    <mergeCell ref="A7:B7"/>
    <mergeCell ref="A23:C23"/>
    <mergeCell ref="J53:K53"/>
    <mergeCell ref="B61:C61"/>
    <mergeCell ref="H52:I52"/>
    <mergeCell ref="B49:C49"/>
    <mergeCell ref="B55:C55"/>
    <mergeCell ref="B64:C64"/>
    <mergeCell ref="H62:I62"/>
    <mergeCell ref="B51:C51"/>
    <mergeCell ref="A21:G21"/>
    <mergeCell ref="J62:K62"/>
    <mergeCell ref="B63:C63"/>
    <mergeCell ref="A9:B9"/>
    <mergeCell ref="J58:K58"/>
    <mergeCell ref="J64:K64"/>
    <mergeCell ref="I6:J6"/>
    <mergeCell ref="H54:I54"/>
    <mergeCell ref="A11:B11"/>
    <mergeCell ref="C5:D5"/>
    <mergeCell ref="H63:I63"/>
    <mergeCell ref="E5:F5"/>
    <mergeCell ref="J57:K57"/>
    <mergeCell ref="H50:I50"/>
    <mergeCell ref="A3:L3"/>
    <mergeCell ref="H56:I56"/>
    <mergeCell ref="A2:F2"/>
    <mergeCell ref="I13:L13"/>
    <mergeCell ref="G7:H7"/>
    <mergeCell ref="I7:J7"/>
    <mergeCell ref="H49:I49"/>
    <mergeCell ref="J49:K49"/>
    <mergeCell ref="A29:C29"/>
    <mergeCell ref="B53:C53"/>
    <mergeCell ref="A31:L31"/>
    <mergeCell ref="A24:C24"/>
    <mergeCell ref="I10:J10"/>
    <mergeCell ref="K10:L10"/>
    <mergeCell ref="A10:B10"/>
    <mergeCell ref="J51:K51"/>
    <mergeCell ref="J61:K61"/>
    <mergeCell ref="K6:L6"/>
    <mergeCell ref="G9:H9"/>
    <mergeCell ref="I9:J9"/>
    <mergeCell ref="A25:C25"/>
    <mergeCell ref="B54:C54"/>
    <mergeCell ref="G11:H11"/>
    <mergeCell ref="I11:J11"/>
    <mergeCell ref="K9:L9"/>
    <mergeCell ref="K5:L5"/>
    <mergeCell ref="B56:C56"/>
    <mergeCell ref="H58:I58"/>
    <mergeCell ref="B58:C58"/>
    <mergeCell ref="B52:C52"/>
    <mergeCell ref="K11:L11"/>
    <mergeCell ref="H60:I60"/>
    <mergeCell ref="A22:C22"/>
    <mergeCell ref="B60:C60"/>
    <mergeCell ref="B57:C57"/>
    <mergeCell ref="A28:C28"/>
    <mergeCell ref="E6:F6"/>
    <mergeCell ref="A5:B5"/>
    <mergeCell ref="H57:I57"/>
    <mergeCell ref="K7:L7"/>
    <mergeCell ref="J50:K50"/>
    <mergeCell ref="C7:D7"/>
    <mergeCell ref="E7:F7"/>
    <mergeCell ref="I21:L21"/>
    <mergeCell ref="J52:K52"/>
    <mergeCell ref="B62:C62"/>
    <mergeCell ref="B59:C59"/>
    <mergeCell ref="A27:C27"/>
    <mergeCell ref="A6:B6"/>
    <mergeCell ref="A13:G13"/>
    <mergeCell ref="H59:I59"/>
    <mergeCell ref="C10:D10"/>
    <mergeCell ref="E10:F10"/>
    <mergeCell ref="H64:I64"/>
    <mergeCell ref="G10:H10"/>
    <mergeCell ref="H51:I51"/>
    <mergeCell ref="G6:H6"/>
    <mergeCell ref="C9:D9"/>
    <mergeCell ref="H61:I61"/>
    <mergeCell ref="J55:K55"/>
    <mergeCell ref="E9:F9"/>
    <mergeCell ref="J54:K54"/>
    <mergeCell ref="C11:D11"/>
    <mergeCell ref="E11:F11"/>
    <mergeCell ref="J63:K63"/>
    <mergeCell ref="G5:H5"/>
    <mergeCell ref="I5:J5"/>
    <mergeCell ref="J56:K56"/>
    <mergeCell ref="A48:L48"/>
    <mergeCell ref="G2:L2"/>
    <mergeCell ref="A1:L1"/>
    <mergeCell ref="B50:C50"/>
    <mergeCell ref="A65:L65"/>
  </mergeCells>
  <conditionalFormatting sqref="G50:G64">
    <cfRule type="cellIs" priority="2" operator="equal" dxfId="3">
      <formula>"ON TRACK"</formula>
    </cfRule>
    <cfRule type="cellIs" priority="3" operator="equal" dxfId="2">
      <formula>"ATTENTION"</formula>
    </cfRule>
    <cfRule type="cellIs" priority="4" operator="equal" dxfId="0">
      <formula>"CRITICAL"</formula>
    </cfRule>
  </conditionalFormatting>
  <pageMargins left="0.75" right="0.75" top="1" bottom="1" header="0.511811023622047" footer="0.511811023622047"/>
  <pageSetup orientation="landscape" scale="45" fitToHeight="0" horizontalDpi="300" verticalDpi="300"/>
  <rowBreaks count="1" manualBreakCount="1">
    <brk id="30"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105"/>
  <sheetViews>
    <sheetView tabSelected="1" zoomScaleNormal="100" workbookViewId="0">
      <pane xSplit="2" ySplit="5" topLeftCell="D6" activePane="bottomRight" state="frozen"/>
      <selection pane="topRight" activeCell="C1" sqref="C1"/>
      <selection pane="bottomLeft" activeCell="A6" sqref="A6"/>
      <selection pane="bottomRight" activeCell="A1" sqref="A1:Q1"/>
    </sheetView>
  </sheetViews>
  <sheetFormatPr baseColWidth="8" defaultColWidth="8.7109375" defaultRowHeight="15"/>
  <cols>
    <col width="5" customWidth="1" min="1" max="1"/>
    <col width="26" customWidth="1" min="2" max="2"/>
    <col width="9" customWidth="1" min="3" max="3"/>
    <col width="16" customWidth="1" min="4" max="4"/>
    <col width="15" customWidth="1" min="5" max="6"/>
    <col width="17" customWidth="1" min="7" max="7"/>
    <col width="12" customWidth="1" min="8" max="8"/>
    <col width="13" customWidth="1" min="9" max="10"/>
    <col width="28" customWidth="1" min="11" max="11"/>
    <col width="38" customWidth="1" min="12" max="12"/>
    <col width="26" customWidth="1" min="13" max="13"/>
    <col width="15" customWidth="1" min="14" max="14"/>
    <col width="11" customWidth="1" min="15" max="15"/>
    <col width="24" customWidth="1" min="16" max="16"/>
  </cols>
  <sheetData>
    <row r="1" ht="30" customHeight="1">
      <c r="A1" s="43" t="inlineStr">
        <is>
          <t>VESSEL REGISTER - NMDPRA CARGO CLEARANCE TRACKER</t>
        </is>
      </c>
    </row>
    <row r="2" ht="27.75" customHeight="1">
      <c r="A2" s="44" t="inlineStr">
        <is>
          <t>Type only in the YELLOW cells. Grey columns calculate automatically. Leave 'Clearance Date' empty while a vessel is pending; enter the date when NMDPRA clears it. Rows marked SAMPLE are examples - overwrite or delete them.</t>
        </is>
      </c>
    </row>
    <row r="3">
      <c r="A3" s="25" t="inlineStr">
        <is>
          <t>Legend:</t>
        </is>
      </c>
      <c r="B3" s="26" t="inlineStr">
        <is>
          <t>You type</t>
        </is>
      </c>
      <c r="C3" s="27" t="inlineStr">
        <is>
          <t>Automatic</t>
        </is>
      </c>
    </row>
    <row r="4"/>
    <row r="5" ht="48" customHeight="1">
      <c r="A5" s="28" t="inlineStr">
        <is>
          <t>S/N</t>
        </is>
      </c>
      <c r="B5" s="28" t="inlineStr">
        <is>
          <t>VESSEL NAME</t>
        </is>
      </c>
      <c r="C5" s="28" t="inlineStr">
        <is>
          <t xml:space="preserve"> BILL OF LADEN DATE </t>
        </is>
      </c>
      <c r="D5" s="28" t="inlineStr">
        <is>
          <t>BILL OF LADEN</t>
        </is>
      </c>
      <c r="E5" s="28" t="inlineStr">
        <is>
          <t>CERT OF ORIGIN</t>
        </is>
      </c>
      <c r="F5" s="28" t="inlineStr">
        <is>
          <t>CARGO MANIFEST</t>
        </is>
      </c>
      <c r="G5" s="28" t="inlineStr">
        <is>
          <t>CERT OF QUANTITY</t>
        </is>
      </c>
      <c r="H5" s="28" t="inlineStr">
        <is>
          <t>COQ BEFORE LOAD</t>
        </is>
      </c>
      <c r="I5" s="28" t="inlineStr">
        <is>
          <t>COQ AFTER LOAD</t>
        </is>
      </c>
      <c r="J5" s="28" t="inlineStr">
        <is>
          <t>NOR</t>
        </is>
      </c>
      <c r="K5" s="28" t="inlineStr">
        <is>
          <t>NOR-DV/MV</t>
        </is>
      </c>
      <c r="L5" s="28" t="inlineStr">
        <is>
          <t>VESSEL SURVEY REPORT BEFORE LOAD</t>
        </is>
      </c>
      <c r="M5" s="28" t="inlineStr">
        <is>
          <t>VESSEL SURVEY REPORT AFTRE LOAD</t>
        </is>
      </c>
      <c r="N5" s="28" t="inlineStr">
        <is>
          <t>TANK CERT INSPECTION</t>
        </is>
      </c>
      <c r="O5" s="28" t="inlineStr">
        <is>
          <t>BUNKER REPORTS</t>
        </is>
      </c>
      <c r="P5" s="28" t="inlineStr">
        <is>
          <t>PUMPING LOG</t>
        </is>
      </c>
    </row>
    <row r="6" ht="25.5" customHeight="1">
      <c r="A6" s="29" t="n">
        <v>1</v>
      </c>
      <c r="B6" s="30" t="inlineStr">
        <is>
          <t>DEMO VESSEL A</t>
        </is>
      </c>
      <c r="C6" s="31" t="inlineStr">
        <is>
          <t>AGO</t>
        </is>
      </c>
      <c r="D6" s="30" t="inlineStr">
        <is>
          <t>Apapa</t>
        </is>
      </c>
      <c r="E6" s="32" t="n">
        <v>46223</v>
      </c>
      <c r="F6" s="33" t="n">
        <v>12500</v>
      </c>
      <c r="G6" s="32" t="n">
        <v>46238</v>
      </c>
      <c r="H6" s="34">
        <f>IF(B6="","",IF(G6&lt;&gt;"","CLEARED","PENDING"))</f>
        <v/>
      </c>
      <c r="I6" s="29">
        <f>IF(OR(B6="",E6=""),"",IF(G6&lt;&gt;"",G6-E6,TODAY()-E6))</f>
        <v/>
      </c>
      <c r="J6" s="29">
        <f>IF(H6="PENDING",IF(I6="","",IF(I6&gt;'GUIDE &amp; SETTINGS'!$C$7,"CRITICAL",IF(I6&gt;'GUIDE &amp; SETTINGS'!$C$6,"ATTENTION","ON TRACK"))),"")</f>
        <v/>
      </c>
      <c r="K6" s="30" t="n"/>
      <c r="L6" s="30" t="n"/>
      <c r="M6" s="30" t="n"/>
      <c r="N6" s="32" t="n"/>
      <c r="O6" s="29">
        <f>IF(AND(H6="PENDING",ISNUMBER(I6)),COUNTIFS($H$6:$H$105,"PENDING",$I$6:$I$105,"&gt;"&amp;I6)+COUNTIFS($H$6:H6,"PENDING",$I$6:I6,I6),"")</f>
        <v/>
      </c>
      <c r="P6" s="29">
        <f>IF(B6="","",IF(OR(C6="",E6="",F6=""),"Fill product, start date, qty",IF(AND(G6&lt;&gt;"",G6&lt;E6),"Clearance before start?","OK")))</f>
        <v/>
      </c>
    </row>
    <row r="7" ht="25.5" customHeight="1">
      <c r="A7" s="29" t="n">
        <v>2</v>
      </c>
      <c r="B7" s="30" t="inlineStr">
        <is>
          <t>DEMO VESSEL B</t>
        </is>
      </c>
      <c r="C7" s="31" t="inlineStr">
        <is>
          <t>PMS</t>
        </is>
      </c>
      <c r="D7" s="30" t="inlineStr">
        <is>
          <t>Lekki</t>
        </is>
      </c>
      <c r="E7" s="32" t="n">
        <v>46231</v>
      </c>
      <c r="F7" s="33" t="n">
        <v>30000</v>
      </c>
      <c r="G7" s="32" t="n">
        <v>46248</v>
      </c>
      <c r="H7" s="34">
        <f>IF(B7="","",IF(G7&lt;&gt;"","CLEARED","PENDING"))</f>
        <v/>
      </c>
      <c r="I7" s="29">
        <f>IF(OR(B7="",E7=""),"",IF(G7&lt;&gt;"",G7-E7,TODAY()-E7))</f>
        <v/>
      </c>
      <c r="J7" s="29">
        <f>IF(H7="PENDING",IF(I7="","",IF(I7&gt;'GUIDE &amp; SETTINGS'!$C$7,"CRITICAL",IF(I7&gt;'GUIDE &amp; SETTINGS'!$C$6,"ATTENTION","ON TRACK"))),"")</f>
        <v/>
      </c>
      <c r="K7" s="30" t="n"/>
      <c r="L7" s="30" t="n"/>
      <c r="M7" s="30" t="n"/>
      <c r="N7" s="32" t="n"/>
      <c r="O7" s="29">
        <f>IF(AND(H7="PENDING",ISNUMBER(I7)),COUNTIFS($H$6:$H$105,"PENDING",$I$6:$I$105,"&gt;"&amp;I7)+COUNTIFS($H$6:H7,"PENDING",$I$6:I7,I7),"")</f>
        <v/>
      </c>
      <c r="P7" s="29">
        <f>IF(B7="","",IF(OR(C7="",E7="",F7=""),"Fill product, start date, qty",IF(AND(G7&lt;&gt;"",G7&lt;E7),"Clearance before start?","OK")))</f>
        <v/>
      </c>
    </row>
    <row r="8" ht="25.5" customHeight="1">
      <c r="A8" s="29" t="n">
        <v>3</v>
      </c>
      <c r="B8" s="30" t="inlineStr">
        <is>
          <t>DEMO VESSEL C</t>
        </is>
      </c>
      <c r="C8" s="31" t="inlineStr">
        <is>
          <t>AGO</t>
        </is>
      </c>
      <c r="D8" s="30" t="inlineStr">
        <is>
          <t>Tin Can</t>
        </is>
      </c>
      <c r="E8" s="32" t="n">
        <v>46246</v>
      </c>
      <c r="F8" s="33" t="n">
        <v>9800.5</v>
      </c>
      <c r="G8" s="32" t="n">
        <v>46265</v>
      </c>
      <c r="H8" s="34">
        <f>IF(B8="","",IF(G8&lt;&gt;"","CLEARED","PENDING"))</f>
        <v/>
      </c>
      <c r="I8" s="29">
        <f>IF(OR(B8="",E8=""),"",IF(G8&lt;&gt;"",G8-E8,TODAY()-E8))</f>
        <v/>
      </c>
      <c r="J8" s="29">
        <f>IF(H8="PENDING",IF(I8="","",IF(I8&gt;'GUIDE &amp; SETTINGS'!$C$7,"CRITICAL",IF(I8&gt;'GUIDE &amp; SETTINGS'!$C$6,"ATTENTION","ON TRACK"))),"")</f>
        <v/>
      </c>
      <c r="K8" s="30" t="n"/>
      <c r="L8" s="30" t="n"/>
      <c r="M8" s="30" t="n"/>
      <c r="N8" s="32" t="n"/>
      <c r="O8" s="29">
        <f>IF(AND(H8="PENDING",ISNUMBER(I8)),COUNTIFS($H$6:$H$105,"PENDING",$I$6:$I$105,"&gt;"&amp;I8)+COUNTIFS($H$6:H8,"PENDING",$I$6:I8,I8),"")</f>
        <v/>
      </c>
      <c r="P8" s="29">
        <f>IF(B8="","",IF(OR(C8="",E8="",F8=""),"Fill product, start date, qty",IF(AND(G8&lt;&gt;"",G8&lt;E8),"Clearance before start?","OK")))</f>
        <v/>
      </c>
    </row>
    <row r="9" ht="25.5" customHeight="1">
      <c r="A9" s="29" t="n">
        <v>4</v>
      </c>
      <c r="B9" s="30" t="inlineStr">
        <is>
          <t>DEMO VESSEL D</t>
        </is>
      </c>
      <c r="C9" s="31" t="inlineStr">
        <is>
          <t>PMS</t>
        </is>
      </c>
      <c r="D9" s="30" t="inlineStr">
        <is>
          <t>Apapa</t>
        </is>
      </c>
      <c r="E9" s="32" t="n">
        <v>46262</v>
      </c>
      <c r="F9" s="33" t="n">
        <v>24500.25</v>
      </c>
      <c r="G9" s="32" t="n"/>
      <c r="H9" s="34">
        <f>IF(B9="","",IF(G9&lt;&gt;"","CLEARED","PENDING"))</f>
        <v/>
      </c>
      <c r="I9" s="29">
        <f>IF(OR(B9="",E9=""),"",IF(G9&lt;&gt;"",G9-E9,TODAY()-E9))</f>
        <v/>
      </c>
      <c r="J9" s="29">
        <f>IF(H9="PENDING",IF(I9="","",IF(I9&gt;'GUIDE &amp; SETTINGS'!$C$7,"CRITICAL",IF(I9&gt;'GUIDE &amp; SETTINGS'!$C$6,"ATTENTION","ON TRACK"))),"")</f>
        <v/>
      </c>
      <c r="K9" s="30" t="inlineStr">
        <is>
          <t>Submitted - awaiting NMDPRA</t>
        </is>
      </c>
      <c r="L9" s="30" t="inlineStr">
        <is>
          <t>Full set filed with NMDPRA; awaiting clearance letter</t>
        </is>
      </c>
      <c r="M9" s="30" t="inlineStr">
        <is>
          <t>Operations / NMDPRA liaison</t>
        </is>
      </c>
      <c r="N9" s="32" t="n">
        <v>46304</v>
      </c>
      <c r="O9" s="29">
        <f>IF(AND(H9="PENDING",ISNUMBER(I9)),COUNTIFS($H$6:$H$105,"PENDING",$I$6:$I$105,"&gt;"&amp;I9)+COUNTIFS($H$6:H9,"PENDING",$I$6:I9,I9),"")</f>
        <v/>
      </c>
      <c r="P9" s="29">
        <f>IF(B9="","",IF(OR(C9="",E9="",F9=""),"Fill product, start date, qty",IF(AND(G9&lt;&gt;"",G9&lt;E9),"Clearance before start?","OK")))</f>
        <v/>
      </c>
    </row>
    <row r="10" ht="25.5" customHeight="1">
      <c r="A10" s="29" t="n">
        <v>5</v>
      </c>
      <c r="B10" s="30" t="inlineStr">
        <is>
          <t>DEMO VESSEL E</t>
        </is>
      </c>
      <c r="C10" s="31" t="inlineStr">
        <is>
          <t>AGO</t>
        </is>
      </c>
      <c r="D10" s="30" t="inlineStr">
        <is>
          <t>Lekki</t>
        </is>
      </c>
      <c r="E10" s="32" t="n">
        <v>46275</v>
      </c>
      <c r="F10" s="33" t="n">
        <v>15200</v>
      </c>
      <c r="G10" s="32" t="n"/>
      <c r="H10" s="34">
        <f>IF(B10="","",IF(G10&lt;&gt;"","CLEARED","PENDING"))</f>
        <v/>
      </c>
      <c r="I10" s="29">
        <f>IF(OR(B10="",E10=""),"",IF(G10&lt;&gt;"",G10-E10,TODAY()-E10))</f>
        <v/>
      </c>
      <c r="J10" s="29">
        <f>IF(H10="PENDING",IF(I10="","",IF(I10&gt;'GUIDE &amp; SETTINGS'!$C$7,"CRITICAL",IF(I10&gt;'GUIDE &amp; SETTINGS'!$C$6,"ATTENTION","ON TRACK"))),"")</f>
        <v/>
      </c>
      <c r="K10" s="30" t="inlineStr">
        <is>
          <t>Awaiting Certificate of Quality</t>
        </is>
      </c>
      <c r="L10" s="30" t="inlineStr">
        <is>
          <t>Certificate of Quality, Supplier Letter</t>
        </is>
      </c>
      <c r="M10" s="30" t="inlineStr">
        <is>
          <t>Operations / NMDPRA liaison</t>
        </is>
      </c>
      <c r="N10" s="32" t="n">
        <v>46307</v>
      </c>
      <c r="O10" s="29">
        <f>IF(AND(H10="PENDING",ISNUMBER(I10)),COUNTIFS($H$6:$H$105,"PENDING",$I$6:$I$105,"&gt;"&amp;I10)+COUNTIFS($H$6:H10,"PENDING",$I$6:I10,I10),"")</f>
        <v/>
      </c>
      <c r="P10" s="29">
        <f>IF(B10="","",IF(OR(C10="",E10="",F10=""),"Fill product, start date, qty",IF(AND(G10&lt;&gt;"",G10&lt;E10),"Clearance before start?","OK")))</f>
        <v/>
      </c>
    </row>
    <row r="11" ht="25.5" customHeight="1">
      <c r="A11" s="29" t="n">
        <v>6</v>
      </c>
      <c r="B11" s="30" t="inlineStr">
        <is>
          <t>DEMO VESSEL F</t>
        </is>
      </c>
      <c r="C11" s="31" t="inlineStr">
        <is>
          <t>PMS</t>
        </is>
      </c>
      <c r="D11" s="30" t="inlineStr">
        <is>
          <t>Tin Can</t>
        </is>
      </c>
      <c r="E11" s="32" t="n">
        <v>46290</v>
      </c>
      <c r="F11" s="33" t="n">
        <v>18750</v>
      </c>
      <c r="G11" s="32" t="n"/>
      <c r="H11" s="34">
        <f>IF(B11="","",IF(G11&lt;&gt;"","CLEARED","PENDING"))</f>
        <v/>
      </c>
      <c r="I11" s="29">
        <f>IF(OR(B11="",E11=""),"",IF(G11&lt;&gt;"",G11-E11,TODAY()-E11))</f>
        <v/>
      </c>
      <c r="J11" s="29">
        <f>IF(H11="PENDING",IF(I11="","",IF(I11&gt;'GUIDE &amp; SETTINGS'!$C$7,"CRITICAL",IF(I11&gt;'GUIDE &amp; SETTINGS'!$C$6,"ATTENTION","ON TRACK"))),"")</f>
        <v/>
      </c>
      <c r="K11" s="30" t="inlineStr">
        <is>
          <t>NMDPRA query raised</t>
        </is>
      </c>
      <c r="L11" s="30" t="inlineStr">
        <is>
          <t>Query on Ullage Report - corrected copy requested</t>
        </is>
      </c>
      <c r="M11" s="30" t="inlineStr">
        <is>
          <t>Operations / NMDPRA liaison</t>
        </is>
      </c>
      <c r="N11" s="32" t="n">
        <v>46303</v>
      </c>
      <c r="O11" s="29">
        <f>IF(AND(H11="PENDING",ISNUMBER(I11)),COUNTIFS($H$6:$H$105,"PENDING",$I$6:$I$105,"&gt;"&amp;I11)+COUNTIFS($H$6:H11,"PENDING",$I$6:I11,I11),"")</f>
        <v/>
      </c>
      <c r="P11" s="29">
        <f>IF(B11="","",IF(OR(C11="",E11="",F11=""),"Fill product, start date, qty",IF(AND(G11&lt;&gt;"",G11&lt;E11),"Clearance before start?","OK")))</f>
        <v/>
      </c>
    </row>
    <row r="12" ht="25.5" customHeight="1">
      <c r="A12" s="29" t="n">
        <v>7</v>
      </c>
      <c r="B12" s="30" t="inlineStr">
        <is>
          <t>DEMO VESSEL G</t>
        </is>
      </c>
      <c r="C12" s="31" t="inlineStr">
        <is>
          <t>AGO</t>
        </is>
      </c>
      <c r="D12" s="30" t="inlineStr">
        <is>
          <t>Apapa</t>
        </is>
      </c>
      <c r="E12" s="32" t="n">
        <v>46295</v>
      </c>
      <c r="F12" s="33" t="n">
        <v>11300</v>
      </c>
      <c r="G12" s="32" t="n"/>
      <c r="H12" s="34">
        <f>IF(B12="","",IF(G12&lt;&gt;"","CLEARED","PENDING"))</f>
        <v/>
      </c>
      <c r="I12" s="29">
        <f>IF(OR(B12="",E12=""),"",IF(G12&lt;&gt;"",G12-E12,TODAY()-E12))</f>
        <v/>
      </c>
      <c r="J12" s="29">
        <f>IF(H12="PENDING",IF(I12="","",IF(I12&gt;'GUIDE &amp; SETTINGS'!$C$7,"CRITICAL",IF(I12&gt;'GUIDE &amp; SETTINGS'!$C$6,"ATTENTION","ON TRACK"))),"")</f>
        <v/>
      </c>
      <c r="K12" s="30" t="inlineStr">
        <is>
          <t>Awaiting documents</t>
        </is>
      </c>
      <c r="L12" s="30" t="inlineStr">
        <is>
          <t>Notice of Readiness, Timesheet</t>
        </is>
      </c>
      <c r="M12" s="30" t="inlineStr">
        <is>
          <t>Operations / NMDPRA liaison</t>
        </is>
      </c>
      <c r="N12" s="32" t="n">
        <v>46305</v>
      </c>
      <c r="O12" s="29">
        <f>IF(AND(H12="PENDING",ISNUMBER(I12)),COUNTIFS($H$6:$H$105,"PENDING",$I$6:$I$105,"&gt;"&amp;I12)+COUNTIFS($H$6:H12,"PENDING",$I$6:I12,I12),"")</f>
        <v/>
      </c>
      <c r="P12" s="29">
        <f>IF(B12="","",IF(OR(C12="",E12="",F12=""),"Fill product, start date, qty",IF(AND(G12&lt;&gt;"",G12&lt;E12),"Clearance before start?","OK")))</f>
        <v/>
      </c>
    </row>
    <row r="13" ht="25.5" customHeight="1">
      <c r="A13" s="29" t="n">
        <v>8</v>
      </c>
      <c r="B13" s="30" t="n"/>
      <c r="C13" s="31" t="n"/>
      <c r="D13" s="30" t="n"/>
      <c r="E13" s="32" t="n"/>
      <c r="F13" s="33" t="n"/>
      <c r="G13" s="32" t="n"/>
      <c r="H13" s="34">
        <f>IF(B13="","",IF(G13&lt;&gt;"","CLEARED","PENDING"))</f>
        <v/>
      </c>
      <c r="I13" s="29">
        <f>IF(OR(B13="",E13=""),"",IF(G13&lt;&gt;"",G13-E13,TODAY()-E13))</f>
        <v/>
      </c>
      <c r="J13" s="29">
        <f>IF(H13="PENDING",IF(I13="","",IF(I13&gt;'GUIDE &amp; SETTINGS'!$C$7,"CRITICAL",IF(I13&gt;'GUIDE &amp; SETTINGS'!$C$6,"ATTENTION","ON TRACK"))),"")</f>
        <v/>
      </c>
      <c r="K13" s="30" t="n"/>
      <c r="L13" s="30" t="n"/>
      <c r="M13" s="30" t="n"/>
      <c r="N13" s="32" t="n"/>
      <c r="O13" s="29">
        <f>IF(AND(H13="PENDING",ISNUMBER(I13)),COUNTIFS($H$6:$H$105,"PENDING",$I$6:$I$105,"&gt;"&amp;I13)+COUNTIFS($H$6:H13,"PENDING",$I$6:I13,I13),"")</f>
        <v/>
      </c>
      <c r="P13" s="29">
        <f>IF(B13="","",IF(OR(C13="",E13="",F13=""),"Fill product, start date, qty",IF(AND(G13&lt;&gt;"",G13&lt;E13),"Clearance before start?","OK")))</f>
        <v/>
      </c>
    </row>
    <row r="14" ht="25.5" customHeight="1">
      <c r="A14" s="29" t="n">
        <v>9</v>
      </c>
      <c r="B14" s="30" t="n"/>
      <c r="C14" s="31" t="n"/>
      <c r="D14" s="30" t="n"/>
      <c r="E14" s="32" t="n"/>
      <c r="F14" s="33" t="n"/>
      <c r="G14" s="32" t="n"/>
      <c r="H14" s="34">
        <f>IF(B14="","",IF(G14&lt;&gt;"","CLEARED","PENDING"))</f>
        <v/>
      </c>
      <c r="I14" s="29">
        <f>IF(OR(B14="",E14=""),"",IF(G14&lt;&gt;"",G14-E14,TODAY()-E14))</f>
        <v/>
      </c>
      <c r="J14" s="29">
        <f>IF(H14="PENDING",IF(I14="","",IF(I14&gt;'GUIDE &amp; SETTINGS'!$C$7,"CRITICAL",IF(I14&gt;'GUIDE &amp; SETTINGS'!$C$6,"ATTENTION","ON TRACK"))),"")</f>
        <v/>
      </c>
      <c r="K14" s="30" t="n"/>
      <c r="L14" s="30" t="n"/>
      <c r="M14" s="30" t="n"/>
      <c r="N14" s="32" t="n"/>
      <c r="O14" s="29">
        <f>IF(AND(H14="PENDING",ISNUMBER(I14)),COUNTIFS($H$6:$H$105,"PENDING",$I$6:$I$105,"&gt;"&amp;I14)+COUNTIFS($H$6:H14,"PENDING",$I$6:I14,I14),"")</f>
        <v/>
      </c>
      <c r="P14" s="29">
        <f>IF(B14="","",IF(OR(C14="",E14="",F14=""),"Fill product, start date, qty",IF(AND(G14&lt;&gt;"",G14&lt;E14),"Clearance before start?","OK")))</f>
        <v/>
      </c>
    </row>
    <row r="15" ht="25.5" customHeight="1">
      <c r="A15" s="29" t="n">
        <v>10</v>
      </c>
      <c r="B15" s="30" t="n"/>
      <c r="C15" s="31" t="n"/>
      <c r="D15" s="30" t="n"/>
      <c r="E15" s="32" t="n"/>
      <c r="F15" s="33" t="n"/>
      <c r="G15" s="32" t="n"/>
      <c r="H15" s="34">
        <f>IF(B15="","",IF(G15&lt;&gt;"","CLEARED","PENDING"))</f>
        <v/>
      </c>
      <c r="I15" s="29">
        <f>IF(OR(B15="",E15=""),"",IF(G15&lt;&gt;"",G15-E15,TODAY()-E15))</f>
        <v/>
      </c>
      <c r="J15" s="29">
        <f>IF(H15="PENDING",IF(I15="","",IF(I15&gt;'GUIDE &amp; SETTINGS'!$C$7,"CRITICAL",IF(I15&gt;'GUIDE &amp; SETTINGS'!$C$6,"ATTENTION","ON TRACK"))),"")</f>
        <v/>
      </c>
      <c r="K15" s="30" t="n"/>
      <c r="L15" s="30" t="n"/>
      <c r="M15" s="30" t="n"/>
      <c r="N15" s="32" t="n"/>
      <c r="O15" s="29">
        <f>IF(AND(H15="PENDING",ISNUMBER(I15)),COUNTIFS($H$6:$H$105,"PENDING",$I$6:$I$105,"&gt;"&amp;I15)+COUNTIFS($H$6:H15,"PENDING",$I$6:I15,I15),"")</f>
        <v/>
      </c>
      <c r="P15" s="29">
        <f>IF(B15="","",IF(OR(C15="",E15="",F15=""),"Fill product, start date, qty",IF(AND(G15&lt;&gt;"",G15&lt;E15),"Clearance before start?","OK")))</f>
        <v/>
      </c>
    </row>
    <row r="16" ht="25.5" customHeight="1">
      <c r="A16" s="29" t="n">
        <v>11</v>
      </c>
      <c r="B16" s="30" t="n"/>
      <c r="C16" s="31" t="n"/>
      <c r="D16" s="30" t="n"/>
      <c r="E16" s="32" t="n"/>
      <c r="F16" s="33" t="n"/>
      <c r="G16" s="32" t="n"/>
      <c r="H16" s="34">
        <f>IF(B16="","",IF(G16&lt;&gt;"","CLEARED","PENDING"))</f>
        <v/>
      </c>
      <c r="I16" s="29">
        <f>IF(OR(B16="",E16=""),"",IF(G16&lt;&gt;"",G16-E16,TODAY()-E16))</f>
        <v/>
      </c>
      <c r="J16" s="29">
        <f>IF(H16="PENDING",IF(I16="","",IF(I16&gt;'GUIDE &amp; SETTINGS'!$C$7,"CRITICAL",IF(I16&gt;'GUIDE &amp; SETTINGS'!$C$6,"ATTENTION","ON TRACK"))),"")</f>
        <v/>
      </c>
      <c r="K16" s="30" t="n"/>
      <c r="L16" s="30" t="n"/>
      <c r="M16" s="30" t="n"/>
      <c r="N16" s="32" t="n"/>
      <c r="O16" s="29">
        <f>IF(AND(H16="PENDING",ISNUMBER(I16)),COUNTIFS($H$6:$H$105,"PENDING",$I$6:$I$105,"&gt;"&amp;I16)+COUNTIFS($H$6:H16,"PENDING",$I$6:I16,I16),"")</f>
        <v/>
      </c>
      <c r="P16" s="29">
        <f>IF(B16="","",IF(OR(C16="",E16="",F16=""),"Fill product, start date, qty",IF(AND(G16&lt;&gt;"",G16&lt;E16),"Clearance before start?","OK")))</f>
        <v/>
      </c>
    </row>
    <row r="17" ht="25.5" customHeight="1">
      <c r="A17" s="29" t="n">
        <v>12</v>
      </c>
      <c r="B17" s="30" t="n"/>
      <c r="C17" s="31" t="n"/>
      <c r="D17" s="30" t="n"/>
      <c r="E17" s="32" t="n"/>
      <c r="F17" s="33" t="n"/>
      <c r="G17" s="32" t="n"/>
      <c r="H17" s="34">
        <f>IF(B17="","",IF(G17&lt;&gt;"","CLEARED","PENDING"))</f>
        <v/>
      </c>
      <c r="I17" s="29">
        <f>IF(OR(B17="",E17=""),"",IF(G17&lt;&gt;"",G17-E17,TODAY()-E17))</f>
        <v/>
      </c>
      <c r="J17" s="29">
        <f>IF(H17="PENDING",IF(I17="","",IF(I17&gt;'GUIDE &amp; SETTINGS'!$C$7,"CRITICAL",IF(I17&gt;'GUIDE &amp; SETTINGS'!$C$6,"ATTENTION","ON TRACK"))),"")</f>
        <v/>
      </c>
      <c r="K17" s="30" t="n"/>
      <c r="L17" s="30" t="n"/>
      <c r="M17" s="30" t="n"/>
      <c r="N17" s="32" t="n"/>
      <c r="O17" s="29">
        <f>IF(AND(H17="PENDING",ISNUMBER(I17)),COUNTIFS($H$6:$H$105,"PENDING",$I$6:$I$105,"&gt;"&amp;I17)+COUNTIFS($H$6:H17,"PENDING",$I$6:I17,I17),"")</f>
        <v/>
      </c>
      <c r="P17" s="29">
        <f>IF(B17="","",IF(OR(C17="",E17="",F17=""),"Fill product, start date, qty",IF(AND(G17&lt;&gt;"",G17&lt;E17),"Clearance before start?","OK")))</f>
        <v/>
      </c>
    </row>
    <row r="18" ht="25.5" customHeight="1">
      <c r="A18" s="29" t="n">
        <v>13</v>
      </c>
      <c r="B18" s="30" t="n"/>
      <c r="C18" s="31" t="n"/>
      <c r="D18" s="30" t="n"/>
      <c r="E18" s="32" t="n"/>
      <c r="F18" s="33" t="n"/>
      <c r="G18" s="32" t="n"/>
      <c r="H18" s="34">
        <f>IF(B18="","",IF(G18&lt;&gt;"","CLEARED","PENDING"))</f>
        <v/>
      </c>
      <c r="I18" s="29">
        <f>IF(OR(B18="",E18=""),"",IF(G18&lt;&gt;"",G18-E18,TODAY()-E18))</f>
        <v/>
      </c>
      <c r="J18" s="29">
        <f>IF(H18="PENDING",IF(I18="","",IF(I18&gt;'GUIDE &amp; SETTINGS'!$C$7,"CRITICAL",IF(I18&gt;'GUIDE &amp; SETTINGS'!$C$6,"ATTENTION","ON TRACK"))),"")</f>
        <v/>
      </c>
      <c r="K18" s="30" t="n"/>
      <c r="L18" s="30" t="n"/>
      <c r="M18" s="30" t="n"/>
      <c r="N18" s="32" t="n"/>
      <c r="O18" s="29">
        <f>IF(AND(H18="PENDING",ISNUMBER(I18)),COUNTIFS($H$6:$H$105,"PENDING",$I$6:$I$105,"&gt;"&amp;I18)+COUNTIFS($H$6:H18,"PENDING",$I$6:I18,I18),"")</f>
        <v/>
      </c>
      <c r="P18" s="29">
        <f>IF(B18="","",IF(OR(C18="",E18="",F18=""),"Fill product, start date, qty",IF(AND(G18&lt;&gt;"",G18&lt;E18),"Clearance before start?","OK")))</f>
        <v/>
      </c>
    </row>
    <row r="19" ht="25.5" customHeight="1">
      <c r="A19" s="29" t="n">
        <v>14</v>
      </c>
      <c r="B19" s="30" t="n"/>
      <c r="C19" s="31" t="n"/>
      <c r="D19" s="30" t="n"/>
      <c r="E19" s="32" t="n"/>
      <c r="F19" s="33" t="n"/>
      <c r="G19" s="32" t="n"/>
      <c r="H19" s="34">
        <f>IF(B19="","",IF(G19&lt;&gt;"","CLEARED","PENDING"))</f>
        <v/>
      </c>
      <c r="I19" s="29">
        <f>IF(OR(B19="",E19=""),"",IF(G19&lt;&gt;"",G19-E19,TODAY()-E19))</f>
        <v/>
      </c>
      <c r="J19" s="29">
        <f>IF(H19="PENDING",IF(I19="","",IF(I19&gt;'GUIDE &amp; SETTINGS'!$C$7,"CRITICAL",IF(I19&gt;'GUIDE &amp; SETTINGS'!$C$6,"ATTENTION","ON TRACK"))),"")</f>
        <v/>
      </c>
      <c r="K19" s="30" t="n"/>
      <c r="L19" s="30" t="n"/>
      <c r="M19" s="30" t="n"/>
      <c r="N19" s="32" t="n"/>
      <c r="O19" s="29">
        <f>IF(AND(H19="PENDING",ISNUMBER(I19)),COUNTIFS($H$6:$H$105,"PENDING",$I$6:$I$105,"&gt;"&amp;I19)+COUNTIFS($H$6:H19,"PENDING",$I$6:I19,I19),"")</f>
        <v/>
      </c>
      <c r="P19" s="29">
        <f>IF(B19="","",IF(OR(C19="",E19="",F19=""),"Fill product, start date, qty",IF(AND(G19&lt;&gt;"",G19&lt;E19),"Clearance before start?","OK")))</f>
        <v/>
      </c>
    </row>
    <row r="20" ht="25.5" customHeight="1">
      <c r="A20" s="29" t="n">
        <v>15</v>
      </c>
      <c r="B20" s="30" t="n"/>
      <c r="C20" s="31" t="n"/>
      <c r="D20" s="30" t="n"/>
      <c r="E20" s="32" t="n"/>
      <c r="F20" s="33" t="n"/>
      <c r="G20" s="32" t="n"/>
      <c r="H20" s="34">
        <f>IF(B20="","",IF(G20&lt;&gt;"","CLEARED","PENDING"))</f>
        <v/>
      </c>
      <c r="I20" s="29">
        <f>IF(OR(B20="",E20=""),"",IF(G20&lt;&gt;"",G20-E20,TODAY()-E20))</f>
        <v/>
      </c>
      <c r="J20" s="29">
        <f>IF(H20="PENDING",IF(I20="","",IF(I20&gt;'GUIDE &amp; SETTINGS'!$C$7,"CRITICAL",IF(I20&gt;'GUIDE &amp; SETTINGS'!$C$6,"ATTENTION","ON TRACK"))),"")</f>
        <v/>
      </c>
      <c r="K20" s="30" t="n"/>
      <c r="L20" s="30" t="n"/>
      <c r="M20" s="30" t="n"/>
      <c r="N20" s="32" t="n"/>
      <c r="O20" s="29">
        <f>IF(AND(H20="PENDING",ISNUMBER(I20)),COUNTIFS($H$6:$H$105,"PENDING",$I$6:$I$105,"&gt;"&amp;I20)+COUNTIFS($H$6:H20,"PENDING",$I$6:I20,I20),"")</f>
        <v/>
      </c>
      <c r="P20" s="29">
        <f>IF(B20="","",IF(OR(C20="",E20="",F20=""),"Fill product, start date, qty",IF(AND(G20&lt;&gt;"",G20&lt;E20),"Clearance before start?","OK")))</f>
        <v/>
      </c>
    </row>
    <row r="21" ht="25.5" customHeight="1">
      <c r="A21" s="29" t="n">
        <v>16</v>
      </c>
      <c r="B21" s="30" t="n"/>
      <c r="C21" s="31" t="n"/>
      <c r="D21" s="30" t="n"/>
      <c r="E21" s="32" t="n"/>
      <c r="F21" s="33" t="n"/>
      <c r="G21" s="32" t="n"/>
      <c r="H21" s="34">
        <f>IF(B21="","",IF(G21&lt;&gt;"","CLEARED","PENDING"))</f>
        <v/>
      </c>
      <c r="I21" s="29">
        <f>IF(OR(B21="",E21=""),"",IF(G21&lt;&gt;"",G21-E21,TODAY()-E21))</f>
        <v/>
      </c>
      <c r="J21" s="29">
        <f>IF(H21="PENDING",IF(I21="","",IF(I21&gt;'GUIDE &amp; SETTINGS'!$C$7,"CRITICAL",IF(I21&gt;'GUIDE &amp; SETTINGS'!$C$6,"ATTENTION","ON TRACK"))),"")</f>
        <v/>
      </c>
      <c r="K21" s="30" t="n"/>
      <c r="L21" s="30" t="n"/>
      <c r="M21" s="30" t="n"/>
      <c r="N21" s="32" t="n"/>
      <c r="O21" s="29">
        <f>IF(AND(H21="PENDING",ISNUMBER(I21)),COUNTIFS($H$6:$H$105,"PENDING",$I$6:$I$105,"&gt;"&amp;I21)+COUNTIFS($H$6:H21,"PENDING",$I$6:I21,I21),"")</f>
        <v/>
      </c>
      <c r="P21" s="29">
        <f>IF(B21="","",IF(OR(C21="",E21="",F21=""),"Fill product, start date, qty",IF(AND(G21&lt;&gt;"",G21&lt;E21),"Clearance before start?","OK")))</f>
        <v/>
      </c>
    </row>
    <row r="22" ht="25.5" customHeight="1">
      <c r="A22" s="29" t="n">
        <v>17</v>
      </c>
      <c r="B22" s="30" t="n"/>
      <c r="C22" s="31" t="n"/>
      <c r="D22" s="30" t="n"/>
      <c r="E22" s="32" t="n"/>
      <c r="F22" s="33" t="n"/>
      <c r="G22" s="32" t="n"/>
      <c r="H22" s="34">
        <f>IF(B22="","",IF(G22&lt;&gt;"","CLEARED","PENDING"))</f>
        <v/>
      </c>
      <c r="I22" s="29">
        <f>IF(OR(B22="",E22=""),"",IF(G22&lt;&gt;"",G22-E22,TODAY()-E22))</f>
        <v/>
      </c>
      <c r="J22" s="29">
        <f>IF(H22="PENDING",IF(I22="","",IF(I22&gt;'GUIDE &amp; SETTINGS'!$C$7,"CRITICAL",IF(I22&gt;'GUIDE &amp; SETTINGS'!$C$6,"ATTENTION","ON TRACK"))),"")</f>
        <v/>
      </c>
      <c r="K22" s="30" t="n"/>
      <c r="L22" s="30" t="n"/>
      <c r="M22" s="30" t="n"/>
      <c r="N22" s="32" t="n"/>
      <c r="O22" s="29">
        <f>IF(AND(H22="PENDING",ISNUMBER(I22)),COUNTIFS($H$6:$H$105,"PENDING",$I$6:$I$105,"&gt;"&amp;I22)+COUNTIFS($H$6:H22,"PENDING",$I$6:I22,I22),"")</f>
        <v/>
      </c>
      <c r="P22" s="29">
        <f>IF(B22="","",IF(OR(C22="",E22="",F22=""),"Fill product, start date, qty",IF(AND(G22&lt;&gt;"",G22&lt;E22),"Clearance before start?","OK")))</f>
        <v/>
      </c>
    </row>
    <row r="23" ht="25.5" customHeight="1">
      <c r="A23" s="29" t="n">
        <v>18</v>
      </c>
      <c r="B23" s="30" t="n"/>
      <c r="C23" s="31" t="n"/>
      <c r="D23" s="30" t="n"/>
      <c r="E23" s="32" t="n"/>
      <c r="F23" s="33" t="n"/>
      <c r="G23" s="32" t="n"/>
      <c r="H23" s="34">
        <f>IF(B23="","",IF(G23&lt;&gt;"","CLEARED","PENDING"))</f>
        <v/>
      </c>
      <c r="I23" s="29">
        <f>IF(OR(B23="",E23=""),"",IF(G23&lt;&gt;"",G23-E23,TODAY()-E23))</f>
        <v/>
      </c>
      <c r="J23" s="29">
        <f>IF(H23="PENDING",IF(I23="","",IF(I23&gt;'GUIDE &amp; SETTINGS'!$C$7,"CRITICAL",IF(I23&gt;'GUIDE &amp; SETTINGS'!$C$6,"ATTENTION","ON TRACK"))),"")</f>
        <v/>
      </c>
      <c r="K23" s="30" t="n"/>
      <c r="L23" s="30" t="n"/>
      <c r="M23" s="30" t="n"/>
      <c r="N23" s="32" t="n"/>
      <c r="O23" s="29">
        <f>IF(AND(H23="PENDING",ISNUMBER(I23)),COUNTIFS($H$6:$H$105,"PENDING",$I$6:$I$105,"&gt;"&amp;I23)+COUNTIFS($H$6:H23,"PENDING",$I$6:I23,I23),"")</f>
        <v/>
      </c>
      <c r="P23" s="29">
        <f>IF(B23="","",IF(OR(C23="",E23="",F23=""),"Fill product, start date, qty",IF(AND(G23&lt;&gt;"",G23&lt;E23),"Clearance before start?","OK")))</f>
        <v/>
      </c>
    </row>
    <row r="24" ht="25.5" customHeight="1">
      <c r="A24" s="29" t="n">
        <v>19</v>
      </c>
      <c r="B24" s="30" t="n"/>
      <c r="C24" s="31" t="n"/>
      <c r="D24" s="30" t="n"/>
      <c r="E24" s="32" t="n"/>
      <c r="F24" s="33" t="n"/>
      <c r="G24" s="32" t="n"/>
      <c r="H24" s="34">
        <f>IF(B24="","",IF(G24&lt;&gt;"","CLEARED","PENDING"))</f>
        <v/>
      </c>
      <c r="I24" s="29">
        <f>IF(OR(B24="",E24=""),"",IF(G24&lt;&gt;"",G24-E24,TODAY()-E24))</f>
        <v/>
      </c>
      <c r="J24" s="29">
        <f>IF(H24="PENDING",IF(I24="","",IF(I24&gt;'GUIDE &amp; SETTINGS'!$C$7,"CRITICAL",IF(I24&gt;'GUIDE &amp; SETTINGS'!$C$6,"ATTENTION","ON TRACK"))),"")</f>
        <v/>
      </c>
      <c r="K24" s="30" t="n"/>
      <c r="L24" s="30" t="n"/>
      <c r="M24" s="30" t="n"/>
      <c r="N24" s="32" t="n"/>
      <c r="O24" s="29">
        <f>IF(AND(H24="PENDING",ISNUMBER(I24)),COUNTIFS($H$6:$H$105,"PENDING",$I$6:$I$105,"&gt;"&amp;I24)+COUNTIFS($H$6:H24,"PENDING",$I$6:I24,I24),"")</f>
        <v/>
      </c>
      <c r="P24" s="29">
        <f>IF(B24="","",IF(OR(C24="",E24="",F24=""),"Fill product, start date, qty",IF(AND(G24&lt;&gt;"",G24&lt;E24),"Clearance before start?","OK")))</f>
        <v/>
      </c>
    </row>
    <row r="25" ht="25.5" customHeight="1">
      <c r="A25" s="29" t="n">
        <v>20</v>
      </c>
      <c r="B25" s="30" t="n"/>
      <c r="C25" s="31" t="n"/>
      <c r="D25" s="30" t="n"/>
      <c r="E25" s="32" t="n"/>
      <c r="F25" s="33" t="n"/>
      <c r="G25" s="32" t="n"/>
      <c r="H25" s="34">
        <f>IF(B25="","",IF(G25&lt;&gt;"","CLEARED","PENDING"))</f>
        <v/>
      </c>
      <c r="I25" s="29">
        <f>IF(OR(B25="",E25=""),"",IF(G25&lt;&gt;"",G25-E25,TODAY()-E25))</f>
        <v/>
      </c>
      <c r="J25" s="29">
        <f>IF(H25="PENDING",IF(I25="","",IF(I25&gt;'GUIDE &amp; SETTINGS'!$C$7,"CRITICAL",IF(I25&gt;'GUIDE &amp; SETTINGS'!$C$6,"ATTENTION","ON TRACK"))),"")</f>
        <v/>
      </c>
      <c r="K25" s="30" t="n"/>
      <c r="L25" s="30" t="n"/>
      <c r="M25" s="30" t="n"/>
      <c r="N25" s="32" t="n"/>
      <c r="O25" s="29">
        <f>IF(AND(H25="PENDING",ISNUMBER(I25)),COUNTIFS($H$6:$H$105,"PENDING",$I$6:$I$105,"&gt;"&amp;I25)+COUNTIFS($H$6:H25,"PENDING",$I$6:I25,I25),"")</f>
        <v/>
      </c>
      <c r="P25" s="29">
        <f>IF(B25="","",IF(OR(C25="",E25="",F25=""),"Fill product, start date, qty",IF(AND(G25&lt;&gt;"",G25&lt;E25),"Clearance before start?","OK")))</f>
        <v/>
      </c>
    </row>
    <row r="26" ht="25.5" customHeight="1">
      <c r="A26" s="29" t="n">
        <v>21</v>
      </c>
      <c r="B26" s="30" t="n"/>
      <c r="C26" s="31" t="n"/>
      <c r="D26" s="30" t="n"/>
      <c r="E26" s="32" t="n"/>
      <c r="F26" s="33" t="n"/>
      <c r="G26" s="32" t="n"/>
      <c r="H26" s="34">
        <f>IF(B26="","",IF(G26&lt;&gt;"","CLEARED","PENDING"))</f>
        <v/>
      </c>
      <c r="I26" s="29">
        <f>IF(OR(B26="",E26=""),"",IF(G26&lt;&gt;"",G26-E26,TODAY()-E26))</f>
        <v/>
      </c>
      <c r="J26" s="29">
        <f>IF(H26="PENDING",IF(I26="","",IF(I26&gt;'GUIDE &amp; SETTINGS'!$C$7,"CRITICAL",IF(I26&gt;'GUIDE &amp; SETTINGS'!$C$6,"ATTENTION","ON TRACK"))),"")</f>
        <v/>
      </c>
      <c r="K26" s="30" t="n"/>
      <c r="L26" s="30" t="n"/>
      <c r="M26" s="30" t="n"/>
      <c r="N26" s="32" t="n"/>
      <c r="O26" s="29">
        <f>IF(AND(H26="PENDING",ISNUMBER(I26)),COUNTIFS($H$6:$H$105,"PENDING",$I$6:$I$105,"&gt;"&amp;I26)+COUNTIFS($H$6:H26,"PENDING",$I$6:I26,I26),"")</f>
        <v/>
      </c>
      <c r="P26" s="29">
        <f>IF(B26="","",IF(OR(C26="",E26="",F26=""),"Fill product, start date, qty",IF(AND(G26&lt;&gt;"",G26&lt;E26),"Clearance before start?","OK")))</f>
        <v/>
      </c>
    </row>
    <row r="27" ht="25.5" customHeight="1">
      <c r="A27" s="29" t="n">
        <v>22</v>
      </c>
      <c r="B27" s="30" t="n"/>
      <c r="C27" s="31" t="n"/>
      <c r="D27" s="30" t="n"/>
      <c r="E27" s="32" t="n"/>
      <c r="F27" s="33" t="n"/>
      <c r="G27" s="32" t="n"/>
      <c r="H27" s="34">
        <f>IF(B27="","",IF(G27&lt;&gt;"","CLEARED","PENDING"))</f>
        <v/>
      </c>
      <c r="I27" s="29">
        <f>IF(OR(B27="",E27=""),"",IF(G27&lt;&gt;"",G27-E27,TODAY()-E27))</f>
        <v/>
      </c>
      <c r="J27" s="29">
        <f>IF(H27="PENDING",IF(I27="","",IF(I27&gt;'GUIDE &amp; SETTINGS'!$C$7,"CRITICAL",IF(I27&gt;'GUIDE &amp; SETTINGS'!$C$6,"ATTENTION","ON TRACK"))),"")</f>
        <v/>
      </c>
      <c r="K27" s="30" t="n"/>
      <c r="L27" s="30" t="n"/>
      <c r="M27" s="30" t="n"/>
      <c r="N27" s="32" t="n"/>
      <c r="O27" s="29">
        <f>IF(AND(H27="PENDING",ISNUMBER(I27)),COUNTIFS($H$6:$H$105,"PENDING",$I$6:$I$105,"&gt;"&amp;I27)+COUNTIFS($H$6:H27,"PENDING",$I$6:I27,I27),"")</f>
        <v/>
      </c>
      <c r="P27" s="29">
        <f>IF(B27="","",IF(OR(C27="",E27="",F27=""),"Fill product, start date, qty",IF(AND(G27&lt;&gt;"",G27&lt;E27),"Clearance before start?","OK")))</f>
        <v/>
      </c>
    </row>
    <row r="28" ht="25.5" customHeight="1">
      <c r="A28" s="29" t="n">
        <v>23</v>
      </c>
      <c r="B28" s="30" t="n"/>
      <c r="C28" s="31" t="n"/>
      <c r="D28" s="30" t="n"/>
      <c r="E28" s="32" t="n"/>
      <c r="F28" s="33" t="n"/>
      <c r="G28" s="32" t="n"/>
      <c r="H28" s="34">
        <f>IF(B28="","",IF(G28&lt;&gt;"","CLEARED","PENDING"))</f>
        <v/>
      </c>
      <c r="I28" s="29">
        <f>IF(OR(B28="",E28=""),"",IF(G28&lt;&gt;"",G28-E28,TODAY()-E28))</f>
        <v/>
      </c>
      <c r="J28" s="29">
        <f>IF(H28="PENDING",IF(I28="","",IF(I28&gt;'GUIDE &amp; SETTINGS'!$C$7,"CRITICAL",IF(I28&gt;'GUIDE &amp; SETTINGS'!$C$6,"ATTENTION","ON TRACK"))),"")</f>
        <v/>
      </c>
      <c r="K28" s="30" t="n"/>
      <c r="L28" s="30" t="n"/>
      <c r="M28" s="30" t="n"/>
      <c r="N28" s="32" t="n"/>
      <c r="O28" s="29">
        <f>IF(AND(H28="PENDING",ISNUMBER(I28)),COUNTIFS($H$6:$H$105,"PENDING",$I$6:$I$105,"&gt;"&amp;I28)+COUNTIFS($H$6:H28,"PENDING",$I$6:I28,I28),"")</f>
        <v/>
      </c>
      <c r="P28" s="29">
        <f>IF(B28="","",IF(OR(C28="",E28="",F28=""),"Fill product, start date, qty",IF(AND(G28&lt;&gt;"",G28&lt;E28),"Clearance before start?","OK")))</f>
        <v/>
      </c>
    </row>
    <row r="29" ht="25.5" customHeight="1">
      <c r="A29" s="29" t="n">
        <v>24</v>
      </c>
      <c r="B29" s="30" t="n"/>
      <c r="C29" s="31" t="n"/>
      <c r="D29" s="30" t="n"/>
      <c r="E29" s="32" t="n"/>
      <c r="F29" s="33" t="n"/>
      <c r="G29" s="32" t="n"/>
      <c r="H29" s="34">
        <f>IF(B29="","",IF(G29&lt;&gt;"","CLEARED","PENDING"))</f>
        <v/>
      </c>
      <c r="I29" s="29">
        <f>IF(OR(B29="",E29=""),"",IF(G29&lt;&gt;"",G29-E29,TODAY()-E29))</f>
        <v/>
      </c>
      <c r="J29" s="29">
        <f>IF(H29="PENDING",IF(I29="","",IF(I29&gt;'GUIDE &amp; SETTINGS'!$C$7,"CRITICAL",IF(I29&gt;'GUIDE &amp; SETTINGS'!$C$6,"ATTENTION","ON TRACK"))),"")</f>
        <v/>
      </c>
      <c r="K29" s="30" t="n"/>
      <c r="L29" s="30" t="n"/>
      <c r="M29" s="30" t="n"/>
      <c r="N29" s="32" t="n"/>
      <c r="O29" s="29">
        <f>IF(AND(H29="PENDING",ISNUMBER(I29)),COUNTIFS($H$6:$H$105,"PENDING",$I$6:$I$105,"&gt;"&amp;I29)+COUNTIFS($H$6:H29,"PENDING",$I$6:I29,I29),"")</f>
        <v/>
      </c>
      <c r="P29" s="29">
        <f>IF(B29="","",IF(OR(C29="",E29="",F29=""),"Fill product, start date, qty",IF(AND(G29&lt;&gt;"",G29&lt;E29),"Clearance before start?","OK")))</f>
        <v/>
      </c>
    </row>
    <row r="30" ht="25.5" customHeight="1">
      <c r="A30" s="29" t="n">
        <v>25</v>
      </c>
      <c r="B30" s="30" t="n"/>
      <c r="C30" s="31" t="n"/>
      <c r="D30" s="30" t="n"/>
      <c r="E30" s="32" t="n"/>
      <c r="F30" s="33" t="n"/>
      <c r="G30" s="32" t="n"/>
      <c r="H30" s="34">
        <f>IF(B30="","",IF(G30&lt;&gt;"","CLEARED","PENDING"))</f>
        <v/>
      </c>
      <c r="I30" s="29">
        <f>IF(OR(B30="",E30=""),"",IF(G30&lt;&gt;"",G30-E30,TODAY()-E30))</f>
        <v/>
      </c>
      <c r="J30" s="29">
        <f>IF(H30="PENDING",IF(I30="","",IF(I30&gt;'GUIDE &amp; SETTINGS'!$C$7,"CRITICAL",IF(I30&gt;'GUIDE &amp; SETTINGS'!$C$6,"ATTENTION","ON TRACK"))),"")</f>
        <v/>
      </c>
      <c r="K30" s="30" t="n"/>
      <c r="L30" s="30" t="n"/>
      <c r="M30" s="30" t="n"/>
      <c r="N30" s="32" t="n"/>
      <c r="O30" s="29">
        <f>IF(AND(H30="PENDING",ISNUMBER(I30)),COUNTIFS($H$6:$H$105,"PENDING",$I$6:$I$105,"&gt;"&amp;I30)+COUNTIFS($H$6:H30,"PENDING",$I$6:I30,I30),"")</f>
        <v/>
      </c>
      <c r="P30" s="29">
        <f>IF(B30="","",IF(OR(C30="",E30="",F30=""),"Fill product, start date, qty",IF(AND(G30&lt;&gt;"",G30&lt;E30),"Clearance before start?","OK")))</f>
        <v/>
      </c>
    </row>
    <row r="31" ht="25.5" customHeight="1">
      <c r="A31" s="29" t="n">
        <v>26</v>
      </c>
      <c r="B31" s="30" t="n"/>
      <c r="C31" s="31" t="n"/>
      <c r="D31" s="30" t="n"/>
      <c r="E31" s="32" t="n"/>
      <c r="F31" s="33" t="n"/>
      <c r="G31" s="32" t="n"/>
      <c r="H31" s="34">
        <f>IF(B31="","",IF(G31&lt;&gt;"","CLEARED","PENDING"))</f>
        <v/>
      </c>
      <c r="I31" s="29">
        <f>IF(OR(B31="",E31=""),"",IF(G31&lt;&gt;"",G31-E31,TODAY()-E31))</f>
        <v/>
      </c>
      <c r="J31" s="29">
        <f>IF(H31="PENDING",IF(I31="","",IF(I31&gt;'GUIDE &amp; SETTINGS'!$C$7,"CRITICAL",IF(I31&gt;'GUIDE &amp; SETTINGS'!$C$6,"ATTENTION","ON TRACK"))),"")</f>
        <v/>
      </c>
      <c r="K31" s="30" t="n"/>
      <c r="L31" s="30" t="n"/>
      <c r="M31" s="30" t="n"/>
      <c r="N31" s="32" t="n"/>
      <c r="O31" s="29">
        <f>IF(AND(H31="PENDING",ISNUMBER(I31)),COUNTIFS($H$6:$H$105,"PENDING",$I$6:$I$105,"&gt;"&amp;I31)+COUNTIFS($H$6:H31,"PENDING",$I$6:I31,I31),"")</f>
        <v/>
      </c>
      <c r="P31" s="29">
        <f>IF(B31="","",IF(OR(C31="",E31="",F31=""),"Fill product, start date, qty",IF(AND(G31&lt;&gt;"",G31&lt;E31),"Clearance before start?","OK")))</f>
        <v/>
      </c>
    </row>
    <row r="32" ht="25.5" customHeight="1">
      <c r="A32" s="29" t="n">
        <v>27</v>
      </c>
      <c r="B32" s="30" t="n"/>
      <c r="C32" s="31" t="n"/>
      <c r="D32" s="30" t="n"/>
      <c r="E32" s="32" t="n"/>
      <c r="F32" s="33" t="n"/>
      <c r="G32" s="32" t="n"/>
      <c r="H32" s="34">
        <f>IF(B32="","",IF(G32&lt;&gt;"","CLEARED","PENDING"))</f>
        <v/>
      </c>
      <c r="I32" s="29">
        <f>IF(OR(B32="",E32=""),"",IF(G32&lt;&gt;"",G32-E32,TODAY()-E32))</f>
        <v/>
      </c>
      <c r="J32" s="29">
        <f>IF(H32="PENDING",IF(I32="","",IF(I32&gt;'GUIDE &amp; SETTINGS'!$C$7,"CRITICAL",IF(I32&gt;'GUIDE &amp; SETTINGS'!$C$6,"ATTENTION","ON TRACK"))),"")</f>
        <v/>
      </c>
      <c r="K32" s="30" t="n"/>
      <c r="L32" s="30" t="n"/>
      <c r="M32" s="30" t="n"/>
      <c r="N32" s="32" t="n"/>
      <c r="O32" s="29">
        <f>IF(AND(H32="PENDING",ISNUMBER(I32)),COUNTIFS($H$6:$H$105,"PENDING",$I$6:$I$105,"&gt;"&amp;I32)+COUNTIFS($H$6:H32,"PENDING",$I$6:I32,I32),"")</f>
        <v/>
      </c>
      <c r="P32" s="29">
        <f>IF(B32="","",IF(OR(C32="",E32="",F32=""),"Fill product, start date, qty",IF(AND(G32&lt;&gt;"",G32&lt;E32),"Clearance before start?","OK")))</f>
        <v/>
      </c>
    </row>
    <row r="33" ht="25.5" customHeight="1">
      <c r="A33" s="29" t="n">
        <v>28</v>
      </c>
      <c r="B33" s="30" t="n"/>
      <c r="C33" s="31" t="n"/>
      <c r="D33" s="30" t="n"/>
      <c r="E33" s="32" t="n"/>
      <c r="F33" s="33" t="n"/>
      <c r="G33" s="32" t="n"/>
      <c r="H33" s="34">
        <f>IF(B33="","",IF(G33&lt;&gt;"","CLEARED","PENDING"))</f>
        <v/>
      </c>
      <c r="I33" s="29">
        <f>IF(OR(B33="",E33=""),"",IF(G33&lt;&gt;"",G33-E33,TODAY()-E33))</f>
        <v/>
      </c>
      <c r="J33" s="29">
        <f>IF(H33="PENDING",IF(I33="","",IF(I33&gt;'GUIDE &amp; SETTINGS'!$C$7,"CRITICAL",IF(I33&gt;'GUIDE &amp; SETTINGS'!$C$6,"ATTENTION","ON TRACK"))),"")</f>
        <v/>
      </c>
      <c r="K33" s="30" t="n"/>
      <c r="L33" s="30" t="n"/>
      <c r="M33" s="30" t="n"/>
      <c r="N33" s="32" t="n"/>
      <c r="O33" s="29">
        <f>IF(AND(H33="PENDING",ISNUMBER(I33)),COUNTIFS($H$6:$H$105,"PENDING",$I$6:$I$105,"&gt;"&amp;I33)+COUNTIFS($H$6:H33,"PENDING",$I$6:I33,I33),"")</f>
        <v/>
      </c>
      <c r="P33" s="29">
        <f>IF(B33="","",IF(OR(C33="",E33="",F33=""),"Fill product, start date, qty",IF(AND(G33&lt;&gt;"",G33&lt;E33),"Clearance before start?","OK")))</f>
        <v/>
      </c>
    </row>
    <row r="34" ht="25.5" customHeight="1">
      <c r="A34" s="29" t="n">
        <v>29</v>
      </c>
      <c r="B34" s="30" t="n"/>
      <c r="C34" s="31" t="n"/>
      <c r="D34" s="30" t="n"/>
      <c r="E34" s="32" t="n"/>
      <c r="F34" s="33" t="n"/>
      <c r="G34" s="32" t="n"/>
      <c r="H34" s="34">
        <f>IF(B34="","",IF(G34&lt;&gt;"","CLEARED","PENDING"))</f>
        <v/>
      </c>
      <c r="I34" s="29">
        <f>IF(OR(B34="",E34=""),"",IF(G34&lt;&gt;"",G34-E34,TODAY()-E34))</f>
        <v/>
      </c>
      <c r="J34" s="29">
        <f>IF(H34="PENDING",IF(I34="","",IF(I34&gt;'GUIDE &amp; SETTINGS'!$C$7,"CRITICAL",IF(I34&gt;'GUIDE &amp; SETTINGS'!$C$6,"ATTENTION","ON TRACK"))),"")</f>
        <v/>
      </c>
      <c r="K34" s="30" t="n"/>
      <c r="L34" s="30" t="n"/>
      <c r="M34" s="30" t="n"/>
      <c r="N34" s="32" t="n"/>
      <c r="O34" s="29">
        <f>IF(AND(H34="PENDING",ISNUMBER(I34)),COUNTIFS($H$6:$H$105,"PENDING",$I$6:$I$105,"&gt;"&amp;I34)+COUNTIFS($H$6:H34,"PENDING",$I$6:I34,I34),"")</f>
        <v/>
      </c>
      <c r="P34" s="29">
        <f>IF(B34="","",IF(OR(C34="",E34="",F34=""),"Fill product, start date, qty",IF(AND(G34&lt;&gt;"",G34&lt;E34),"Clearance before start?","OK")))</f>
        <v/>
      </c>
    </row>
    <row r="35" ht="25.5" customHeight="1">
      <c r="A35" s="29" t="n">
        <v>30</v>
      </c>
      <c r="B35" s="30" t="n"/>
      <c r="C35" s="31" t="n"/>
      <c r="D35" s="30" t="n"/>
      <c r="E35" s="32" t="n"/>
      <c r="F35" s="33" t="n"/>
      <c r="G35" s="32" t="n"/>
      <c r="H35" s="34">
        <f>IF(B35="","",IF(G35&lt;&gt;"","CLEARED","PENDING"))</f>
        <v/>
      </c>
      <c r="I35" s="29">
        <f>IF(OR(B35="",E35=""),"",IF(G35&lt;&gt;"",G35-E35,TODAY()-E35))</f>
        <v/>
      </c>
      <c r="J35" s="29">
        <f>IF(H35="PENDING",IF(I35="","",IF(I35&gt;'GUIDE &amp; SETTINGS'!$C$7,"CRITICAL",IF(I35&gt;'GUIDE &amp; SETTINGS'!$C$6,"ATTENTION","ON TRACK"))),"")</f>
        <v/>
      </c>
      <c r="K35" s="30" t="n"/>
      <c r="L35" s="30" t="n"/>
      <c r="M35" s="30" t="n"/>
      <c r="N35" s="32" t="n"/>
      <c r="O35" s="29">
        <f>IF(AND(H35="PENDING",ISNUMBER(I35)),COUNTIFS($H$6:$H$105,"PENDING",$I$6:$I$105,"&gt;"&amp;I35)+COUNTIFS($H$6:H35,"PENDING",$I$6:I35,I35),"")</f>
        <v/>
      </c>
      <c r="P35" s="29">
        <f>IF(B35="","",IF(OR(C35="",E35="",F35=""),"Fill product, start date, qty",IF(AND(G35&lt;&gt;"",G35&lt;E35),"Clearance before start?","OK")))</f>
        <v/>
      </c>
    </row>
    <row r="36" ht="25.5" customHeight="1">
      <c r="A36" s="29" t="n">
        <v>31</v>
      </c>
      <c r="B36" s="30" t="n"/>
      <c r="C36" s="31" t="n"/>
      <c r="D36" s="30" t="n"/>
      <c r="E36" s="32" t="n"/>
      <c r="F36" s="33" t="n"/>
      <c r="G36" s="32" t="n"/>
      <c r="H36" s="34">
        <f>IF(B36="","",IF(G36&lt;&gt;"","CLEARED","PENDING"))</f>
        <v/>
      </c>
      <c r="I36" s="29">
        <f>IF(OR(B36="",E36=""),"",IF(G36&lt;&gt;"",G36-E36,TODAY()-E36))</f>
        <v/>
      </c>
      <c r="J36" s="29">
        <f>IF(H36="PENDING",IF(I36="","",IF(I36&gt;'GUIDE &amp; SETTINGS'!$C$7,"CRITICAL",IF(I36&gt;'GUIDE &amp; SETTINGS'!$C$6,"ATTENTION","ON TRACK"))),"")</f>
        <v/>
      </c>
      <c r="K36" s="30" t="n"/>
      <c r="L36" s="30" t="n"/>
      <c r="M36" s="30" t="n"/>
      <c r="N36" s="32" t="n"/>
      <c r="O36" s="29">
        <f>IF(AND(H36="PENDING",ISNUMBER(I36)),COUNTIFS($H$6:$H$105,"PENDING",$I$6:$I$105,"&gt;"&amp;I36)+COUNTIFS($H$6:H36,"PENDING",$I$6:I36,I36),"")</f>
        <v/>
      </c>
      <c r="P36" s="29">
        <f>IF(B36="","",IF(OR(C36="",E36="",F36=""),"Fill product, start date, qty",IF(AND(G36&lt;&gt;"",G36&lt;E36),"Clearance before start?","OK")))</f>
        <v/>
      </c>
    </row>
    <row r="37" ht="25.5" customHeight="1">
      <c r="A37" s="29" t="n">
        <v>32</v>
      </c>
      <c r="B37" s="30" t="n"/>
      <c r="C37" s="31" t="n"/>
      <c r="D37" s="30" t="n"/>
      <c r="E37" s="32" t="n"/>
      <c r="F37" s="33" t="n"/>
      <c r="G37" s="32" t="n"/>
      <c r="H37" s="34">
        <f>IF(B37="","",IF(G37&lt;&gt;"","CLEARED","PENDING"))</f>
        <v/>
      </c>
      <c r="I37" s="29">
        <f>IF(OR(B37="",E37=""),"",IF(G37&lt;&gt;"",G37-E37,TODAY()-E37))</f>
        <v/>
      </c>
      <c r="J37" s="29">
        <f>IF(H37="PENDING",IF(I37="","",IF(I37&gt;'GUIDE &amp; SETTINGS'!$C$7,"CRITICAL",IF(I37&gt;'GUIDE &amp; SETTINGS'!$C$6,"ATTENTION","ON TRACK"))),"")</f>
        <v/>
      </c>
      <c r="K37" s="30" t="n"/>
      <c r="L37" s="30" t="n"/>
      <c r="M37" s="30" t="n"/>
      <c r="N37" s="32" t="n"/>
      <c r="O37" s="29">
        <f>IF(AND(H37="PENDING",ISNUMBER(I37)),COUNTIFS($H$6:$H$105,"PENDING",$I$6:$I$105,"&gt;"&amp;I37)+COUNTIFS($H$6:H37,"PENDING",$I$6:I37,I37),"")</f>
        <v/>
      </c>
      <c r="P37" s="29">
        <f>IF(B37="","",IF(OR(C37="",E37="",F37=""),"Fill product, start date, qty",IF(AND(G37&lt;&gt;"",G37&lt;E37),"Clearance before start?","OK")))</f>
        <v/>
      </c>
    </row>
    <row r="38" ht="25.5" customHeight="1">
      <c r="A38" s="29" t="n">
        <v>33</v>
      </c>
      <c r="B38" s="30" t="n"/>
      <c r="C38" s="31" t="n"/>
      <c r="D38" s="30" t="n"/>
      <c r="E38" s="32" t="n"/>
      <c r="F38" s="33" t="n"/>
      <c r="G38" s="32" t="n"/>
      <c r="H38" s="34">
        <f>IF(B38="","",IF(G38&lt;&gt;"","CLEARED","PENDING"))</f>
        <v/>
      </c>
      <c r="I38" s="29">
        <f>IF(OR(B38="",E38=""),"",IF(G38&lt;&gt;"",G38-E38,TODAY()-E38))</f>
        <v/>
      </c>
      <c r="J38" s="29">
        <f>IF(H38="PENDING",IF(I38="","",IF(I38&gt;'GUIDE &amp; SETTINGS'!$C$7,"CRITICAL",IF(I38&gt;'GUIDE &amp; SETTINGS'!$C$6,"ATTENTION","ON TRACK"))),"")</f>
        <v/>
      </c>
      <c r="K38" s="30" t="n"/>
      <c r="L38" s="30" t="n"/>
      <c r="M38" s="30" t="n"/>
      <c r="N38" s="32" t="n"/>
      <c r="O38" s="29">
        <f>IF(AND(H38="PENDING",ISNUMBER(I38)),COUNTIFS($H$6:$H$105,"PENDING",$I$6:$I$105,"&gt;"&amp;I38)+COUNTIFS($H$6:H38,"PENDING",$I$6:I38,I38),"")</f>
        <v/>
      </c>
      <c r="P38" s="29">
        <f>IF(B38="","",IF(OR(C38="",E38="",F38=""),"Fill product, start date, qty",IF(AND(G38&lt;&gt;"",G38&lt;E38),"Clearance before start?","OK")))</f>
        <v/>
      </c>
    </row>
    <row r="39" ht="25.5" customHeight="1">
      <c r="A39" s="29" t="n">
        <v>34</v>
      </c>
      <c r="B39" s="30" t="n"/>
      <c r="C39" s="31" t="n"/>
      <c r="D39" s="30" t="n"/>
      <c r="E39" s="32" t="n"/>
      <c r="F39" s="33" t="n"/>
      <c r="G39" s="32" t="n"/>
      <c r="H39" s="34">
        <f>IF(B39="","",IF(G39&lt;&gt;"","CLEARED","PENDING"))</f>
        <v/>
      </c>
      <c r="I39" s="29">
        <f>IF(OR(B39="",E39=""),"",IF(G39&lt;&gt;"",G39-E39,TODAY()-E39))</f>
        <v/>
      </c>
      <c r="J39" s="29">
        <f>IF(H39="PENDING",IF(I39="","",IF(I39&gt;'GUIDE &amp; SETTINGS'!$C$7,"CRITICAL",IF(I39&gt;'GUIDE &amp; SETTINGS'!$C$6,"ATTENTION","ON TRACK"))),"")</f>
        <v/>
      </c>
      <c r="K39" s="30" t="n"/>
      <c r="L39" s="30" t="n"/>
      <c r="M39" s="30" t="n"/>
      <c r="N39" s="32" t="n"/>
      <c r="O39" s="29">
        <f>IF(AND(H39="PENDING",ISNUMBER(I39)),COUNTIFS($H$6:$H$105,"PENDING",$I$6:$I$105,"&gt;"&amp;I39)+COUNTIFS($H$6:H39,"PENDING",$I$6:I39,I39),"")</f>
        <v/>
      </c>
      <c r="P39" s="29">
        <f>IF(B39="","",IF(OR(C39="",E39="",F39=""),"Fill product, start date, qty",IF(AND(G39&lt;&gt;"",G39&lt;E39),"Clearance before start?","OK")))</f>
        <v/>
      </c>
    </row>
    <row r="40" ht="25.5" customHeight="1">
      <c r="A40" s="29" t="n">
        <v>35</v>
      </c>
      <c r="B40" s="30" t="n"/>
      <c r="C40" s="31" t="n"/>
      <c r="D40" s="30" t="n"/>
      <c r="E40" s="32" t="n"/>
      <c r="F40" s="33" t="n"/>
      <c r="G40" s="32" t="n"/>
      <c r="H40" s="34">
        <f>IF(B40="","",IF(G40&lt;&gt;"","CLEARED","PENDING"))</f>
        <v/>
      </c>
      <c r="I40" s="29">
        <f>IF(OR(B40="",E40=""),"",IF(G40&lt;&gt;"",G40-E40,TODAY()-E40))</f>
        <v/>
      </c>
      <c r="J40" s="29">
        <f>IF(H40="PENDING",IF(I40="","",IF(I40&gt;'GUIDE &amp; SETTINGS'!$C$7,"CRITICAL",IF(I40&gt;'GUIDE &amp; SETTINGS'!$C$6,"ATTENTION","ON TRACK"))),"")</f>
        <v/>
      </c>
      <c r="K40" s="30" t="n"/>
      <c r="L40" s="30" t="n"/>
      <c r="M40" s="30" t="n"/>
      <c r="N40" s="32" t="n"/>
      <c r="O40" s="29">
        <f>IF(AND(H40="PENDING",ISNUMBER(I40)),COUNTIFS($H$6:$H$105,"PENDING",$I$6:$I$105,"&gt;"&amp;I40)+COUNTIFS($H$6:H40,"PENDING",$I$6:I40,I40),"")</f>
        <v/>
      </c>
      <c r="P40" s="29">
        <f>IF(B40="","",IF(OR(C40="",E40="",F40=""),"Fill product, start date, qty",IF(AND(G40&lt;&gt;"",G40&lt;E40),"Clearance before start?","OK")))</f>
        <v/>
      </c>
    </row>
    <row r="41" ht="25.5" customHeight="1">
      <c r="A41" s="29" t="n">
        <v>36</v>
      </c>
      <c r="B41" s="30" t="n"/>
      <c r="C41" s="31" t="n"/>
      <c r="D41" s="30" t="n"/>
      <c r="E41" s="32" t="n"/>
      <c r="F41" s="33" t="n"/>
      <c r="G41" s="32" t="n"/>
      <c r="H41" s="34">
        <f>IF(B41="","",IF(G41&lt;&gt;"","CLEARED","PENDING"))</f>
        <v/>
      </c>
      <c r="I41" s="29">
        <f>IF(OR(B41="",E41=""),"",IF(G41&lt;&gt;"",G41-E41,TODAY()-E41))</f>
        <v/>
      </c>
      <c r="J41" s="29">
        <f>IF(H41="PENDING",IF(I41="","",IF(I41&gt;'GUIDE &amp; SETTINGS'!$C$7,"CRITICAL",IF(I41&gt;'GUIDE &amp; SETTINGS'!$C$6,"ATTENTION","ON TRACK"))),"")</f>
        <v/>
      </c>
      <c r="K41" s="30" t="n"/>
      <c r="L41" s="30" t="n"/>
      <c r="M41" s="30" t="n"/>
      <c r="N41" s="32" t="n"/>
      <c r="O41" s="29">
        <f>IF(AND(H41="PENDING",ISNUMBER(I41)),COUNTIFS($H$6:$H$105,"PENDING",$I$6:$I$105,"&gt;"&amp;I41)+COUNTIFS($H$6:H41,"PENDING",$I$6:I41,I41),"")</f>
        <v/>
      </c>
      <c r="P41" s="29">
        <f>IF(B41="","",IF(OR(C41="",E41="",F41=""),"Fill product, start date, qty",IF(AND(G41&lt;&gt;"",G41&lt;E41),"Clearance before start?","OK")))</f>
        <v/>
      </c>
    </row>
    <row r="42" ht="25.5" customHeight="1">
      <c r="A42" s="29" t="n">
        <v>37</v>
      </c>
      <c r="B42" s="30" t="n"/>
      <c r="C42" s="31" t="n"/>
      <c r="D42" s="30" t="n"/>
      <c r="E42" s="32" t="n"/>
      <c r="F42" s="33" t="n"/>
      <c r="G42" s="32" t="n"/>
      <c r="H42" s="34">
        <f>IF(B42="","",IF(G42&lt;&gt;"","CLEARED","PENDING"))</f>
        <v/>
      </c>
      <c r="I42" s="29">
        <f>IF(OR(B42="",E42=""),"",IF(G42&lt;&gt;"",G42-E42,TODAY()-E42))</f>
        <v/>
      </c>
      <c r="J42" s="29">
        <f>IF(H42="PENDING",IF(I42="","",IF(I42&gt;'GUIDE &amp; SETTINGS'!$C$7,"CRITICAL",IF(I42&gt;'GUIDE &amp; SETTINGS'!$C$6,"ATTENTION","ON TRACK"))),"")</f>
        <v/>
      </c>
      <c r="K42" s="30" t="n"/>
      <c r="L42" s="30" t="n"/>
      <c r="M42" s="30" t="n"/>
      <c r="N42" s="32" t="n"/>
      <c r="O42" s="29">
        <f>IF(AND(H42="PENDING",ISNUMBER(I42)),COUNTIFS($H$6:$H$105,"PENDING",$I$6:$I$105,"&gt;"&amp;I42)+COUNTIFS($H$6:H42,"PENDING",$I$6:I42,I42),"")</f>
        <v/>
      </c>
      <c r="P42" s="29">
        <f>IF(B42="","",IF(OR(C42="",E42="",F42=""),"Fill product, start date, qty",IF(AND(G42&lt;&gt;"",G42&lt;E42),"Clearance before start?","OK")))</f>
        <v/>
      </c>
    </row>
    <row r="43" ht="25.5" customHeight="1">
      <c r="A43" s="29" t="n">
        <v>38</v>
      </c>
      <c r="B43" s="30" t="n"/>
      <c r="C43" s="31" t="n"/>
      <c r="D43" s="30" t="n"/>
      <c r="E43" s="32" t="n"/>
      <c r="F43" s="33" t="n"/>
      <c r="G43" s="32" t="n"/>
      <c r="H43" s="34">
        <f>IF(B43="","",IF(G43&lt;&gt;"","CLEARED","PENDING"))</f>
        <v/>
      </c>
      <c r="I43" s="29">
        <f>IF(OR(B43="",E43=""),"",IF(G43&lt;&gt;"",G43-E43,TODAY()-E43))</f>
        <v/>
      </c>
      <c r="J43" s="29">
        <f>IF(H43="PENDING",IF(I43="","",IF(I43&gt;'GUIDE &amp; SETTINGS'!$C$7,"CRITICAL",IF(I43&gt;'GUIDE &amp; SETTINGS'!$C$6,"ATTENTION","ON TRACK"))),"")</f>
        <v/>
      </c>
      <c r="K43" s="30" t="n"/>
      <c r="L43" s="30" t="n"/>
      <c r="M43" s="30" t="n"/>
      <c r="N43" s="32" t="n"/>
      <c r="O43" s="29">
        <f>IF(AND(H43="PENDING",ISNUMBER(I43)),COUNTIFS($H$6:$H$105,"PENDING",$I$6:$I$105,"&gt;"&amp;I43)+COUNTIFS($H$6:H43,"PENDING",$I$6:I43,I43),"")</f>
        <v/>
      </c>
      <c r="P43" s="29">
        <f>IF(B43="","",IF(OR(C43="",E43="",F43=""),"Fill product, start date, qty",IF(AND(G43&lt;&gt;"",G43&lt;E43),"Clearance before start?","OK")))</f>
        <v/>
      </c>
    </row>
    <row r="44" ht="25.5" customHeight="1">
      <c r="A44" s="29" t="n">
        <v>39</v>
      </c>
      <c r="B44" s="30" t="n"/>
      <c r="C44" s="31" t="n"/>
      <c r="D44" s="30" t="n"/>
      <c r="E44" s="32" t="n"/>
      <c r="F44" s="33" t="n"/>
      <c r="G44" s="32" t="n"/>
      <c r="H44" s="34">
        <f>IF(B44="","",IF(G44&lt;&gt;"","CLEARED","PENDING"))</f>
        <v/>
      </c>
      <c r="I44" s="29">
        <f>IF(OR(B44="",E44=""),"",IF(G44&lt;&gt;"",G44-E44,TODAY()-E44))</f>
        <v/>
      </c>
      <c r="J44" s="29">
        <f>IF(H44="PENDING",IF(I44="","",IF(I44&gt;'GUIDE &amp; SETTINGS'!$C$7,"CRITICAL",IF(I44&gt;'GUIDE &amp; SETTINGS'!$C$6,"ATTENTION","ON TRACK"))),"")</f>
        <v/>
      </c>
      <c r="K44" s="30" t="n"/>
      <c r="L44" s="30" t="n"/>
      <c r="M44" s="30" t="n"/>
      <c r="N44" s="32" t="n"/>
      <c r="O44" s="29">
        <f>IF(AND(H44="PENDING",ISNUMBER(I44)),COUNTIFS($H$6:$H$105,"PENDING",$I$6:$I$105,"&gt;"&amp;I44)+COUNTIFS($H$6:H44,"PENDING",$I$6:I44,I44),"")</f>
        <v/>
      </c>
      <c r="P44" s="29">
        <f>IF(B44="","",IF(OR(C44="",E44="",F44=""),"Fill product, start date, qty",IF(AND(G44&lt;&gt;"",G44&lt;E44),"Clearance before start?","OK")))</f>
        <v/>
      </c>
    </row>
    <row r="45" ht="25.5" customHeight="1">
      <c r="A45" s="29" t="n">
        <v>40</v>
      </c>
      <c r="B45" s="30" t="n"/>
      <c r="C45" s="31" t="n"/>
      <c r="D45" s="30" t="n"/>
      <c r="E45" s="32" t="n"/>
      <c r="F45" s="33" t="n"/>
      <c r="G45" s="32" t="n"/>
      <c r="H45" s="34">
        <f>IF(B45="","",IF(G45&lt;&gt;"","CLEARED","PENDING"))</f>
        <v/>
      </c>
      <c r="I45" s="29">
        <f>IF(OR(B45="",E45=""),"",IF(G45&lt;&gt;"",G45-E45,TODAY()-E45))</f>
        <v/>
      </c>
      <c r="J45" s="29">
        <f>IF(H45="PENDING",IF(I45="","",IF(I45&gt;'GUIDE &amp; SETTINGS'!$C$7,"CRITICAL",IF(I45&gt;'GUIDE &amp; SETTINGS'!$C$6,"ATTENTION","ON TRACK"))),"")</f>
        <v/>
      </c>
      <c r="K45" s="30" t="n"/>
      <c r="L45" s="30" t="n"/>
      <c r="M45" s="30" t="n"/>
      <c r="N45" s="32" t="n"/>
      <c r="O45" s="29">
        <f>IF(AND(H45="PENDING",ISNUMBER(I45)),COUNTIFS($H$6:$H$105,"PENDING",$I$6:$I$105,"&gt;"&amp;I45)+COUNTIFS($H$6:H45,"PENDING",$I$6:I45,I45),"")</f>
        <v/>
      </c>
      <c r="P45" s="29">
        <f>IF(B45="","",IF(OR(C45="",E45="",F45=""),"Fill product, start date, qty",IF(AND(G45&lt;&gt;"",G45&lt;E45),"Clearance before start?","OK")))</f>
        <v/>
      </c>
    </row>
    <row r="46" ht="25.5" customHeight="1">
      <c r="A46" s="29" t="n">
        <v>41</v>
      </c>
      <c r="B46" s="30" t="n"/>
      <c r="C46" s="31" t="n"/>
      <c r="D46" s="30" t="n"/>
      <c r="E46" s="32" t="n"/>
      <c r="F46" s="33" t="n"/>
      <c r="G46" s="32" t="n"/>
      <c r="H46" s="34">
        <f>IF(B46="","",IF(G46&lt;&gt;"","CLEARED","PENDING"))</f>
        <v/>
      </c>
      <c r="I46" s="29">
        <f>IF(OR(B46="",E46=""),"",IF(G46&lt;&gt;"",G46-E46,TODAY()-E46))</f>
        <v/>
      </c>
      <c r="J46" s="29">
        <f>IF(H46="PENDING",IF(I46="","",IF(I46&gt;'GUIDE &amp; SETTINGS'!$C$7,"CRITICAL",IF(I46&gt;'GUIDE &amp; SETTINGS'!$C$6,"ATTENTION","ON TRACK"))),"")</f>
        <v/>
      </c>
      <c r="K46" s="30" t="n"/>
      <c r="L46" s="30" t="n"/>
      <c r="M46" s="30" t="n"/>
      <c r="N46" s="32" t="n"/>
      <c r="O46" s="29">
        <f>IF(AND(H46="PENDING",ISNUMBER(I46)),COUNTIFS($H$6:$H$105,"PENDING",$I$6:$I$105,"&gt;"&amp;I46)+COUNTIFS($H$6:H46,"PENDING",$I$6:I46,I46),"")</f>
        <v/>
      </c>
      <c r="P46" s="29">
        <f>IF(B46="","",IF(OR(C46="",E46="",F46=""),"Fill product, start date, qty",IF(AND(G46&lt;&gt;"",G46&lt;E46),"Clearance before start?","OK")))</f>
        <v/>
      </c>
    </row>
    <row r="47" ht="25.5" customHeight="1">
      <c r="A47" s="29" t="n">
        <v>42</v>
      </c>
      <c r="B47" s="30" t="n"/>
      <c r="C47" s="31" t="n"/>
      <c r="D47" s="30" t="n"/>
      <c r="E47" s="32" t="n"/>
      <c r="F47" s="33" t="n"/>
      <c r="G47" s="32" t="n"/>
      <c r="H47" s="34">
        <f>IF(B47="","",IF(G47&lt;&gt;"","CLEARED","PENDING"))</f>
        <v/>
      </c>
      <c r="I47" s="29">
        <f>IF(OR(B47="",E47=""),"",IF(G47&lt;&gt;"",G47-E47,TODAY()-E47))</f>
        <v/>
      </c>
      <c r="J47" s="29">
        <f>IF(H47="PENDING",IF(I47="","",IF(I47&gt;'GUIDE &amp; SETTINGS'!$C$7,"CRITICAL",IF(I47&gt;'GUIDE &amp; SETTINGS'!$C$6,"ATTENTION","ON TRACK"))),"")</f>
        <v/>
      </c>
      <c r="K47" s="30" t="n"/>
      <c r="L47" s="30" t="n"/>
      <c r="M47" s="30" t="n"/>
      <c r="N47" s="32" t="n"/>
      <c r="O47" s="29">
        <f>IF(AND(H47="PENDING",ISNUMBER(I47)),COUNTIFS($H$6:$H$105,"PENDING",$I$6:$I$105,"&gt;"&amp;I47)+COUNTIFS($H$6:H47,"PENDING",$I$6:I47,I47),"")</f>
        <v/>
      </c>
      <c r="P47" s="29">
        <f>IF(B47="","",IF(OR(C47="",E47="",F47=""),"Fill product, start date, qty",IF(AND(G47&lt;&gt;"",G47&lt;E47),"Clearance before start?","OK")))</f>
        <v/>
      </c>
    </row>
    <row r="48" ht="25.5" customHeight="1">
      <c r="A48" s="29" t="n">
        <v>43</v>
      </c>
      <c r="B48" s="30" t="n"/>
      <c r="C48" s="31" t="n"/>
      <c r="D48" s="30" t="n"/>
      <c r="E48" s="32" t="n"/>
      <c r="F48" s="33" t="n"/>
      <c r="G48" s="32" t="n"/>
      <c r="H48" s="34">
        <f>IF(B48="","",IF(G48&lt;&gt;"","CLEARED","PENDING"))</f>
        <v/>
      </c>
      <c r="I48" s="29">
        <f>IF(OR(B48="",E48=""),"",IF(G48&lt;&gt;"",G48-E48,TODAY()-E48))</f>
        <v/>
      </c>
      <c r="J48" s="29">
        <f>IF(H48="PENDING",IF(I48="","",IF(I48&gt;'GUIDE &amp; SETTINGS'!$C$7,"CRITICAL",IF(I48&gt;'GUIDE &amp; SETTINGS'!$C$6,"ATTENTION","ON TRACK"))),"")</f>
        <v/>
      </c>
      <c r="K48" s="30" t="n"/>
      <c r="L48" s="30" t="n"/>
      <c r="M48" s="30" t="n"/>
      <c r="N48" s="32" t="n"/>
      <c r="O48" s="29">
        <f>IF(AND(H48="PENDING",ISNUMBER(I48)),COUNTIFS($H$6:$H$105,"PENDING",$I$6:$I$105,"&gt;"&amp;I48)+COUNTIFS($H$6:H48,"PENDING",$I$6:I48,I48),"")</f>
        <v/>
      </c>
      <c r="P48" s="29">
        <f>IF(B48="","",IF(OR(C48="",E48="",F48=""),"Fill product, start date, qty",IF(AND(G48&lt;&gt;"",G48&lt;E48),"Clearance before start?","OK")))</f>
        <v/>
      </c>
    </row>
    <row r="49" ht="25.5" customHeight="1">
      <c r="A49" s="29" t="n">
        <v>44</v>
      </c>
      <c r="B49" s="30" t="n"/>
      <c r="C49" s="31" t="n"/>
      <c r="D49" s="30" t="n"/>
      <c r="E49" s="32" t="n"/>
      <c r="F49" s="33" t="n"/>
      <c r="G49" s="32" t="n"/>
      <c r="H49" s="34">
        <f>IF(B49="","",IF(G49&lt;&gt;"","CLEARED","PENDING"))</f>
        <v/>
      </c>
      <c r="I49" s="29">
        <f>IF(OR(B49="",E49=""),"",IF(G49&lt;&gt;"",G49-E49,TODAY()-E49))</f>
        <v/>
      </c>
      <c r="J49" s="29">
        <f>IF(H49="PENDING",IF(I49="","",IF(I49&gt;'GUIDE &amp; SETTINGS'!$C$7,"CRITICAL",IF(I49&gt;'GUIDE &amp; SETTINGS'!$C$6,"ATTENTION","ON TRACK"))),"")</f>
        <v/>
      </c>
      <c r="K49" s="30" t="n"/>
      <c r="L49" s="30" t="n"/>
      <c r="M49" s="30" t="n"/>
      <c r="N49" s="32" t="n"/>
      <c r="O49" s="29">
        <f>IF(AND(H49="PENDING",ISNUMBER(I49)),COUNTIFS($H$6:$H$105,"PENDING",$I$6:$I$105,"&gt;"&amp;I49)+COUNTIFS($H$6:H49,"PENDING",$I$6:I49,I49),"")</f>
        <v/>
      </c>
      <c r="P49" s="29">
        <f>IF(B49="","",IF(OR(C49="",E49="",F49=""),"Fill product, start date, qty",IF(AND(G49&lt;&gt;"",G49&lt;E49),"Clearance before start?","OK")))</f>
        <v/>
      </c>
    </row>
    <row r="50" ht="25.5" customHeight="1">
      <c r="A50" s="29" t="n">
        <v>45</v>
      </c>
      <c r="B50" s="30" t="n"/>
      <c r="C50" s="31" t="n"/>
      <c r="D50" s="30" t="n"/>
      <c r="E50" s="32" t="n"/>
      <c r="F50" s="33" t="n"/>
      <c r="G50" s="32" t="n"/>
      <c r="H50" s="34">
        <f>IF(B50="","",IF(G50&lt;&gt;"","CLEARED","PENDING"))</f>
        <v/>
      </c>
      <c r="I50" s="29">
        <f>IF(OR(B50="",E50=""),"",IF(G50&lt;&gt;"",G50-E50,TODAY()-E50))</f>
        <v/>
      </c>
      <c r="J50" s="29">
        <f>IF(H50="PENDING",IF(I50="","",IF(I50&gt;'GUIDE &amp; SETTINGS'!$C$7,"CRITICAL",IF(I50&gt;'GUIDE &amp; SETTINGS'!$C$6,"ATTENTION","ON TRACK"))),"")</f>
        <v/>
      </c>
      <c r="K50" s="30" t="n"/>
      <c r="L50" s="30" t="n"/>
      <c r="M50" s="30" t="n"/>
      <c r="N50" s="32" t="n"/>
      <c r="O50" s="29">
        <f>IF(AND(H50="PENDING",ISNUMBER(I50)),COUNTIFS($H$6:$H$105,"PENDING",$I$6:$I$105,"&gt;"&amp;I50)+COUNTIFS($H$6:H50,"PENDING",$I$6:I50,I50),"")</f>
        <v/>
      </c>
      <c r="P50" s="29">
        <f>IF(B50="","",IF(OR(C50="",E50="",F50=""),"Fill product, start date, qty",IF(AND(G50&lt;&gt;"",G50&lt;E50),"Clearance before start?","OK")))</f>
        <v/>
      </c>
    </row>
    <row r="51" ht="25.5" customHeight="1">
      <c r="A51" s="29" t="n">
        <v>46</v>
      </c>
      <c r="B51" s="30" t="n"/>
      <c r="C51" s="31" t="n"/>
      <c r="D51" s="30" t="n"/>
      <c r="E51" s="32" t="n"/>
      <c r="F51" s="33" t="n"/>
      <c r="G51" s="32" t="n"/>
      <c r="H51" s="34">
        <f>IF(B51="","",IF(G51&lt;&gt;"","CLEARED","PENDING"))</f>
        <v/>
      </c>
      <c r="I51" s="29">
        <f>IF(OR(B51="",E51=""),"",IF(G51&lt;&gt;"",G51-E51,TODAY()-E51))</f>
        <v/>
      </c>
      <c r="J51" s="29">
        <f>IF(H51="PENDING",IF(I51="","",IF(I51&gt;'GUIDE &amp; SETTINGS'!$C$7,"CRITICAL",IF(I51&gt;'GUIDE &amp; SETTINGS'!$C$6,"ATTENTION","ON TRACK"))),"")</f>
        <v/>
      </c>
      <c r="K51" s="30" t="n"/>
      <c r="L51" s="30" t="n"/>
      <c r="M51" s="30" t="n"/>
      <c r="N51" s="32" t="n"/>
      <c r="O51" s="29">
        <f>IF(AND(H51="PENDING",ISNUMBER(I51)),COUNTIFS($H$6:$H$105,"PENDING",$I$6:$I$105,"&gt;"&amp;I51)+COUNTIFS($H$6:H51,"PENDING",$I$6:I51,I51),"")</f>
        <v/>
      </c>
      <c r="P51" s="29">
        <f>IF(B51="","",IF(OR(C51="",E51="",F51=""),"Fill product, start date, qty",IF(AND(G51&lt;&gt;"",G51&lt;E51),"Clearance before start?","OK")))</f>
        <v/>
      </c>
    </row>
    <row r="52" ht="25.5" customHeight="1">
      <c r="A52" s="29" t="n">
        <v>47</v>
      </c>
      <c r="B52" s="30" t="n"/>
      <c r="C52" s="31" t="n"/>
      <c r="D52" s="30" t="n"/>
      <c r="E52" s="32" t="n"/>
      <c r="F52" s="33" t="n"/>
      <c r="G52" s="32" t="n"/>
      <c r="H52" s="34">
        <f>IF(B52="","",IF(G52&lt;&gt;"","CLEARED","PENDING"))</f>
        <v/>
      </c>
      <c r="I52" s="29">
        <f>IF(OR(B52="",E52=""),"",IF(G52&lt;&gt;"",G52-E52,TODAY()-E52))</f>
        <v/>
      </c>
      <c r="J52" s="29">
        <f>IF(H52="PENDING",IF(I52="","",IF(I52&gt;'GUIDE &amp; SETTINGS'!$C$7,"CRITICAL",IF(I52&gt;'GUIDE &amp; SETTINGS'!$C$6,"ATTENTION","ON TRACK"))),"")</f>
        <v/>
      </c>
      <c r="K52" s="30" t="n"/>
      <c r="L52" s="30" t="n"/>
      <c r="M52" s="30" t="n"/>
      <c r="N52" s="32" t="n"/>
      <c r="O52" s="29">
        <f>IF(AND(H52="PENDING",ISNUMBER(I52)),COUNTIFS($H$6:$H$105,"PENDING",$I$6:$I$105,"&gt;"&amp;I52)+COUNTIFS($H$6:H52,"PENDING",$I$6:I52,I52),"")</f>
        <v/>
      </c>
      <c r="P52" s="29">
        <f>IF(B52="","",IF(OR(C52="",E52="",F52=""),"Fill product, start date, qty",IF(AND(G52&lt;&gt;"",G52&lt;E52),"Clearance before start?","OK")))</f>
        <v/>
      </c>
    </row>
    <row r="53" ht="25.5" customHeight="1">
      <c r="A53" s="29" t="n">
        <v>48</v>
      </c>
      <c r="B53" s="30" t="n"/>
      <c r="C53" s="31" t="n"/>
      <c r="D53" s="30" t="n"/>
      <c r="E53" s="32" t="n"/>
      <c r="F53" s="33" t="n"/>
      <c r="G53" s="32" t="n"/>
      <c r="H53" s="34">
        <f>IF(B53="","",IF(G53&lt;&gt;"","CLEARED","PENDING"))</f>
        <v/>
      </c>
      <c r="I53" s="29">
        <f>IF(OR(B53="",E53=""),"",IF(G53&lt;&gt;"",G53-E53,TODAY()-E53))</f>
        <v/>
      </c>
      <c r="J53" s="29">
        <f>IF(H53="PENDING",IF(I53="","",IF(I53&gt;'GUIDE &amp; SETTINGS'!$C$7,"CRITICAL",IF(I53&gt;'GUIDE &amp; SETTINGS'!$C$6,"ATTENTION","ON TRACK"))),"")</f>
        <v/>
      </c>
      <c r="K53" s="30" t="n"/>
      <c r="L53" s="30" t="n"/>
      <c r="M53" s="30" t="n"/>
      <c r="N53" s="32" t="n"/>
      <c r="O53" s="29">
        <f>IF(AND(H53="PENDING",ISNUMBER(I53)),COUNTIFS($H$6:$H$105,"PENDING",$I$6:$I$105,"&gt;"&amp;I53)+COUNTIFS($H$6:H53,"PENDING",$I$6:I53,I53),"")</f>
        <v/>
      </c>
      <c r="P53" s="29">
        <f>IF(B53="","",IF(OR(C53="",E53="",F53=""),"Fill product, start date, qty",IF(AND(G53&lt;&gt;"",G53&lt;E53),"Clearance before start?","OK")))</f>
        <v/>
      </c>
    </row>
    <row r="54" ht="25.5" customHeight="1">
      <c r="A54" s="29" t="n">
        <v>49</v>
      </c>
      <c r="B54" s="30" t="n"/>
      <c r="C54" s="31" t="n"/>
      <c r="D54" s="30" t="n"/>
      <c r="E54" s="32" t="n"/>
      <c r="F54" s="33" t="n"/>
      <c r="G54" s="32" t="n"/>
      <c r="H54" s="34">
        <f>IF(B54="","",IF(G54&lt;&gt;"","CLEARED","PENDING"))</f>
        <v/>
      </c>
      <c r="I54" s="29">
        <f>IF(OR(B54="",E54=""),"",IF(G54&lt;&gt;"",G54-E54,TODAY()-E54))</f>
        <v/>
      </c>
      <c r="J54" s="29">
        <f>IF(H54="PENDING",IF(I54="","",IF(I54&gt;'GUIDE &amp; SETTINGS'!$C$7,"CRITICAL",IF(I54&gt;'GUIDE &amp; SETTINGS'!$C$6,"ATTENTION","ON TRACK"))),"")</f>
        <v/>
      </c>
      <c r="K54" s="30" t="n"/>
      <c r="L54" s="30" t="n"/>
      <c r="M54" s="30" t="n"/>
      <c r="N54" s="32" t="n"/>
      <c r="O54" s="29">
        <f>IF(AND(H54="PENDING",ISNUMBER(I54)),COUNTIFS($H$6:$H$105,"PENDING",$I$6:$I$105,"&gt;"&amp;I54)+COUNTIFS($H$6:H54,"PENDING",$I$6:I54,I54),"")</f>
        <v/>
      </c>
      <c r="P54" s="29">
        <f>IF(B54="","",IF(OR(C54="",E54="",F54=""),"Fill product, start date, qty",IF(AND(G54&lt;&gt;"",G54&lt;E54),"Clearance before start?","OK")))</f>
        <v/>
      </c>
    </row>
    <row r="55" ht="25.5" customHeight="1">
      <c r="A55" s="29" t="n">
        <v>50</v>
      </c>
      <c r="B55" s="30" t="n"/>
      <c r="C55" s="31" t="n"/>
      <c r="D55" s="30" t="n"/>
      <c r="E55" s="32" t="n"/>
      <c r="F55" s="33" t="n"/>
      <c r="G55" s="32" t="n"/>
      <c r="H55" s="34">
        <f>IF(B55="","",IF(G55&lt;&gt;"","CLEARED","PENDING"))</f>
        <v/>
      </c>
      <c r="I55" s="29">
        <f>IF(OR(B55="",E55=""),"",IF(G55&lt;&gt;"",G55-E55,TODAY()-E55))</f>
        <v/>
      </c>
      <c r="J55" s="29">
        <f>IF(H55="PENDING",IF(I55="","",IF(I55&gt;'GUIDE &amp; SETTINGS'!$C$7,"CRITICAL",IF(I55&gt;'GUIDE &amp; SETTINGS'!$C$6,"ATTENTION","ON TRACK"))),"")</f>
        <v/>
      </c>
      <c r="K55" s="30" t="n"/>
      <c r="L55" s="30" t="n"/>
      <c r="M55" s="30" t="n"/>
      <c r="N55" s="32" t="n"/>
      <c r="O55" s="29">
        <f>IF(AND(H55="PENDING",ISNUMBER(I55)),COUNTIFS($H$6:$H$105,"PENDING",$I$6:$I$105,"&gt;"&amp;I55)+COUNTIFS($H$6:H55,"PENDING",$I$6:I55,I55),"")</f>
        <v/>
      </c>
      <c r="P55" s="29">
        <f>IF(B55="","",IF(OR(C55="",E55="",F55=""),"Fill product, start date, qty",IF(AND(G55&lt;&gt;"",G55&lt;E55),"Clearance before start?","OK")))</f>
        <v/>
      </c>
    </row>
    <row r="56" ht="25.5" customHeight="1">
      <c r="A56" s="29" t="n">
        <v>51</v>
      </c>
      <c r="B56" s="30" t="n"/>
      <c r="C56" s="31" t="n"/>
      <c r="D56" s="30" t="n"/>
      <c r="E56" s="32" t="n"/>
      <c r="F56" s="33" t="n"/>
      <c r="G56" s="32" t="n"/>
      <c r="H56" s="34">
        <f>IF(B56="","",IF(G56&lt;&gt;"","CLEARED","PENDING"))</f>
        <v/>
      </c>
      <c r="I56" s="29">
        <f>IF(OR(B56="",E56=""),"",IF(G56&lt;&gt;"",G56-E56,TODAY()-E56))</f>
        <v/>
      </c>
      <c r="J56" s="29">
        <f>IF(H56="PENDING",IF(I56="","",IF(I56&gt;'GUIDE &amp; SETTINGS'!$C$7,"CRITICAL",IF(I56&gt;'GUIDE &amp; SETTINGS'!$C$6,"ATTENTION","ON TRACK"))),"")</f>
        <v/>
      </c>
      <c r="K56" s="30" t="n"/>
      <c r="L56" s="30" t="n"/>
      <c r="M56" s="30" t="n"/>
      <c r="N56" s="32" t="n"/>
      <c r="O56" s="29">
        <f>IF(AND(H56="PENDING",ISNUMBER(I56)),COUNTIFS($H$6:$H$105,"PENDING",$I$6:$I$105,"&gt;"&amp;I56)+COUNTIFS($H$6:H56,"PENDING",$I$6:I56,I56),"")</f>
        <v/>
      </c>
      <c r="P56" s="29">
        <f>IF(B56="","",IF(OR(C56="",E56="",F56=""),"Fill product, start date, qty",IF(AND(G56&lt;&gt;"",G56&lt;E56),"Clearance before start?","OK")))</f>
        <v/>
      </c>
    </row>
    <row r="57" ht="25.5" customHeight="1">
      <c r="A57" s="29" t="n">
        <v>52</v>
      </c>
      <c r="B57" s="30" t="n"/>
      <c r="C57" s="31" t="n"/>
      <c r="D57" s="30" t="n"/>
      <c r="E57" s="32" t="n"/>
      <c r="F57" s="33" t="n"/>
      <c r="G57" s="32" t="n"/>
      <c r="H57" s="34">
        <f>IF(B57="","",IF(G57&lt;&gt;"","CLEARED","PENDING"))</f>
        <v/>
      </c>
      <c r="I57" s="29">
        <f>IF(OR(B57="",E57=""),"",IF(G57&lt;&gt;"",G57-E57,TODAY()-E57))</f>
        <v/>
      </c>
      <c r="J57" s="29">
        <f>IF(H57="PENDING",IF(I57="","",IF(I57&gt;'GUIDE &amp; SETTINGS'!$C$7,"CRITICAL",IF(I57&gt;'GUIDE &amp; SETTINGS'!$C$6,"ATTENTION","ON TRACK"))),"")</f>
        <v/>
      </c>
      <c r="K57" s="30" t="n"/>
      <c r="L57" s="30" t="n"/>
      <c r="M57" s="30" t="n"/>
      <c r="N57" s="32" t="n"/>
      <c r="O57" s="29">
        <f>IF(AND(H57="PENDING",ISNUMBER(I57)),COUNTIFS($H$6:$H$105,"PENDING",$I$6:$I$105,"&gt;"&amp;I57)+COUNTIFS($H$6:H57,"PENDING",$I$6:I57,I57),"")</f>
        <v/>
      </c>
      <c r="P57" s="29">
        <f>IF(B57="","",IF(OR(C57="",E57="",F57=""),"Fill product, start date, qty",IF(AND(G57&lt;&gt;"",G57&lt;E57),"Clearance before start?","OK")))</f>
        <v/>
      </c>
    </row>
    <row r="58" ht="25.5" customHeight="1">
      <c r="A58" s="29" t="n">
        <v>53</v>
      </c>
      <c r="B58" s="30" t="n"/>
      <c r="C58" s="31" t="n"/>
      <c r="D58" s="30" t="n"/>
      <c r="E58" s="32" t="n"/>
      <c r="F58" s="33" t="n"/>
      <c r="G58" s="32" t="n"/>
      <c r="H58" s="34">
        <f>IF(B58="","",IF(G58&lt;&gt;"","CLEARED","PENDING"))</f>
        <v/>
      </c>
      <c r="I58" s="29">
        <f>IF(OR(B58="",E58=""),"",IF(G58&lt;&gt;"",G58-E58,TODAY()-E58))</f>
        <v/>
      </c>
      <c r="J58" s="29">
        <f>IF(H58="PENDING",IF(I58="","",IF(I58&gt;'GUIDE &amp; SETTINGS'!$C$7,"CRITICAL",IF(I58&gt;'GUIDE &amp; SETTINGS'!$C$6,"ATTENTION","ON TRACK"))),"")</f>
        <v/>
      </c>
      <c r="K58" s="30" t="n"/>
      <c r="L58" s="30" t="n"/>
      <c r="M58" s="30" t="n"/>
      <c r="N58" s="32" t="n"/>
      <c r="O58" s="29">
        <f>IF(AND(H58="PENDING",ISNUMBER(I58)),COUNTIFS($H$6:$H$105,"PENDING",$I$6:$I$105,"&gt;"&amp;I58)+COUNTIFS($H$6:H58,"PENDING",$I$6:I58,I58),"")</f>
        <v/>
      </c>
      <c r="P58" s="29">
        <f>IF(B58="","",IF(OR(C58="",E58="",F58=""),"Fill product, start date, qty",IF(AND(G58&lt;&gt;"",G58&lt;E58),"Clearance before start?","OK")))</f>
        <v/>
      </c>
    </row>
    <row r="59" ht="25.5" customHeight="1">
      <c r="A59" s="29" t="n">
        <v>54</v>
      </c>
      <c r="B59" s="30" t="n"/>
      <c r="C59" s="31" t="n"/>
      <c r="D59" s="30" t="n"/>
      <c r="E59" s="32" t="n"/>
      <c r="F59" s="33" t="n"/>
      <c r="G59" s="32" t="n"/>
      <c r="H59" s="34">
        <f>IF(B59="","",IF(G59&lt;&gt;"","CLEARED","PENDING"))</f>
        <v/>
      </c>
      <c r="I59" s="29">
        <f>IF(OR(B59="",E59=""),"",IF(G59&lt;&gt;"",G59-E59,TODAY()-E59))</f>
        <v/>
      </c>
      <c r="J59" s="29">
        <f>IF(H59="PENDING",IF(I59="","",IF(I59&gt;'GUIDE &amp; SETTINGS'!$C$7,"CRITICAL",IF(I59&gt;'GUIDE &amp; SETTINGS'!$C$6,"ATTENTION","ON TRACK"))),"")</f>
        <v/>
      </c>
      <c r="K59" s="30" t="n"/>
      <c r="L59" s="30" t="n"/>
      <c r="M59" s="30" t="n"/>
      <c r="N59" s="32" t="n"/>
      <c r="O59" s="29">
        <f>IF(AND(H59="PENDING",ISNUMBER(I59)),COUNTIFS($H$6:$H$105,"PENDING",$I$6:$I$105,"&gt;"&amp;I59)+COUNTIFS($H$6:H59,"PENDING",$I$6:I59,I59),"")</f>
        <v/>
      </c>
      <c r="P59" s="29">
        <f>IF(B59="","",IF(OR(C59="",E59="",F59=""),"Fill product, start date, qty",IF(AND(G59&lt;&gt;"",G59&lt;E59),"Clearance before start?","OK")))</f>
        <v/>
      </c>
    </row>
    <row r="60" ht="25.5" customHeight="1">
      <c r="A60" s="29" t="n">
        <v>55</v>
      </c>
      <c r="B60" s="30" t="n"/>
      <c r="C60" s="31" t="n"/>
      <c r="D60" s="30" t="n"/>
      <c r="E60" s="32" t="n"/>
      <c r="F60" s="33" t="n"/>
      <c r="G60" s="32" t="n"/>
      <c r="H60" s="34">
        <f>IF(B60="","",IF(G60&lt;&gt;"","CLEARED","PENDING"))</f>
        <v/>
      </c>
      <c r="I60" s="29">
        <f>IF(OR(B60="",E60=""),"",IF(G60&lt;&gt;"",G60-E60,TODAY()-E60))</f>
        <v/>
      </c>
      <c r="J60" s="29">
        <f>IF(H60="PENDING",IF(I60="","",IF(I60&gt;'GUIDE &amp; SETTINGS'!$C$7,"CRITICAL",IF(I60&gt;'GUIDE &amp; SETTINGS'!$C$6,"ATTENTION","ON TRACK"))),"")</f>
        <v/>
      </c>
      <c r="K60" s="30" t="n"/>
      <c r="L60" s="30" t="n"/>
      <c r="M60" s="30" t="n"/>
      <c r="N60" s="32" t="n"/>
      <c r="O60" s="29">
        <f>IF(AND(H60="PENDING",ISNUMBER(I60)),COUNTIFS($H$6:$H$105,"PENDING",$I$6:$I$105,"&gt;"&amp;I60)+COUNTIFS($H$6:H60,"PENDING",$I$6:I60,I60),"")</f>
        <v/>
      </c>
      <c r="P60" s="29">
        <f>IF(B60="","",IF(OR(C60="",E60="",F60=""),"Fill product, start date, qty",IF(AND(G60&lt;&gt;"",G60&lt;E60),"Clearance before start?","OK")))</f>
        <v/>
      </c>
    </row>
    <row r="61" ht="25.5" customHeight="1">
      <c r="A61" s="29" t="n">
        <v>56</v>
      </c>
      <c r="B61" s="30" t="n"/>
      <c r="C61" s="31" t="n"/>
      <c r="D61" s="30" t="n"/>
      <c r="E61" s="32" t="n"/>
      <c r="F61" s="33" t="n"/>
      <c r="G61" s="32" t="n"/>
      <c r="H61" s="34">
        <f>IF(B61="","",IF(G61&lt;&gt;"","CLEARED","PENDING"))</f>
        <v/>
      </c>
      <c r="I61" s="29">
        <f>IF(OR(B61="",E61=""),"",IF(G61&lt;&gt;"",G61-E61,TODAY()-E61))</f>
        <v/>
      </c>
      <c r="J61" s="29">
        <f>IF(H61="PENDING",IF(I61="","",IF(I61&gt;'GUIDE &amp; SETTINGS'!$C$7,"CRITICAL",IF(I61&gt;'GUIDE &amp; SETTINGS'!$C$6,"ATTENTION","ON TRACK"))),"")</f>
        <v/>
      </c>
      <c r="K61" s="30" t="n"/>
      <c r="L61" s="30" t="n"/>
      <c r="M61" s="30" t="n"/>
      <c r="N61" s="32" t="n"/>
      <c r="O61" s="29">
        <f>IF(AND(H61="PENDING",ISNUMBER(I61)),COUNTIFS($H$6:$H$105,"PENDING",$I$6:$I$105,"&gt;"&amp;I61)+COUNTIFS($H$6:H61,"PENDING",$I$6:I61,I61),"")</f>
        <v/>
      </c>
      <c r="P61" s="29">
        <f>IF(B61="","",IF(OR(C61="",E61="",F61=""),"Fill product, start date, qty",IF(AND(G61&lt;&gt;"",G61&lt;E61),"Clearance before start?","OK")))</f>
        <v/>
      </c>
    </row>
    <row r="62" ht="25.5" customHeight="1">
      <c r="A62" s="29" t="n">
        <v>57</v>
      </c>
      <c r="B62" s="30" t="n"/>
      <c r="C62" s="31" t="n"/>
      <c r="D62" s="30" t="n"/>
      <c r="E62" s="32" t="n"/>
      <c r="F62" s="33" t="n"/>
      <c r="G62" s="32" t="n"/>
      <c r="H62" s="34">
        <f>IF(B62="","",IF(G62&lt;&gt;"","CLEARED","PENDING"))</f>
        <v/>
      </c>
      <c r="I62" s="29">
        <f>IF(OR(B62="",E62=""),"",IF(G62&lt;&gt;"",G62-E62,TODAY()-E62))</f>
        <v/>
      </c>
      <c r="J62" s="29">
        <f>IF(H62="PENDING",IF(I62="","",IF(I62&gt;'GUIDE &amp; SETTINGS'!$C$7,"CRITICAL",IF(I62&gt;'GUIDE &amp; SETTINGS'!$C$6,"ATTENTION","ON TRACK"))),"")</f>
        <v/>
      </c>
      <c r="K62" s="30" t="n"/>
      <c r="L62" s="30" t="n"/>
      <c r="M62" s="30" t="n"/>
      <c r="N62" s="32" t="n"/>
      <c r="O62" s="29">
        <f>IF(AND(H62="PENDING",ISNUMBER(I62)),COUNTIFS($H$6:$H$105,"PENDING",$I$6:$I$105,"&gt;"&amp;I62)+COUNTIFS($H$6:H62,"PENDING",$I$6:I62,I62),"")</f>
        <v/>
      </c>
      <c r="P62" s="29">
        <f>IF(B62="","",IF(OR(C62="",E62="",F62=""),"Fill product, start date, qty",IF(AND(G62&lt;&gt;"",G62&lt;E62),"Clearance before start?","OK")))</f>
        <v/>
      </c>
    </row>
    <row r="63" ht="25.5" customHeight="1">
      <c r="A63" s="29" t="n">
        <v>58</v>
      </c>
      <c r="B63" s="30" t="n"/>
      <c r="C63" s="31" t="n"/>
      <c r="D63" s="30" t="n"/>
      <c r="E63" s="32" t="n"/>
      <c r="F63" s="33" t="n"/>
      <c r="G63" s="32" t="n"/>
      <c r="H63" s="34">
        <f>IF(B63="","",IF(G63&lt;&gt;"","CLEARED","PENDING"))</f>
        <v/>
      </c>
      <c r="I63" s="29">
        <f>IF(OR(B63="",E63=""),"",IF(G63&lt;&gt;"",G63-E63,TODAY()-E63))</f>
        <v/>
      </c>
      <c r="J63" s="29">
        <f>IF(H63="PENDING",IF(I63="","",IF(I63&gt;'GUIDE &amp; SETTINGS'!$C$7,"CRITICAL",IF(I63&gt;'GUIDE &amp; SETTINGS'!$C$6,"ATTENTION","ON TRACK"))),"")</f>
        <v/>
      </c>
      <c r="K63" s="30" t="n"/>
      <c r="L63" s="30" t="n"/>
      <c r="M63" s="30" t="n"/>
      <c r="N63" s="32" t="n"/>
      <c r="O63" s="29">
        <f>IF(AND(H63="PENDING",ISNUMBER(I63)),COUNTIFS($H$6:$H$105,"PENDING",$I$6:$I$105,"&gt;"&amp;I63)+COUNTIFS($H$6:H63,"PENDING",$I$6:I63,I63),"")</f>
        <v/>
      </c>
      <c r="P63" s="29">
        <f>IF(B63="","",IF(OR(C63="",E63="",F63=""),"Fill product, start date, qty",IF(AND(G63&lt;&gt;"",G63&lt;E63),"Clearance before start?","OK")))</f>
        <v/>
      </c>
    </row>
    <row r="64" ht="25.5" customHeight="1">
      <c r="A64" s="29" t="n">
        <v>59</v>
      </c>
      <c r="B64" s="30" t="n"/>
      <c r="C64" s="31" t="n"/>
      <c r="D64" s="30" t="n"/>
      <c r="E64" s="32" t="n"/>
      <c r="F64" s="33" t="n"/>
      <c r="G64" s="32" t="n"/>
      <c r="H64" s="34">
        <f>IF(B64="","",IF(G64&lt;&gt;"","CLEARED","PENDING"))</f>
        <v/>
      </c>
      <c r="I64" s="29">
        <f>IF(OR(B64="",E64=""),"",IF(G64&lt;&gt;"",G64-E64,TODAY()-E64))</f>
        <v/>
      </c>
      <c r="J64" s="29">
        <f>IF(H64="PENDING",IF(I64="","",IF(I64&gt;'GUIDE &amp; SETTINGS'!$C$7,"CRITICAL",IF(I64&gt;'GUIDE &amp; SETTINGS'!$C$6,"ATTENTION","ON TRACK"))),"")</f>
        <v/>
      </c>
      <c r="K64" s="30" t="n"/>
      <c r="L64" s="30" t="n"/>
      <c r="M64" s="30" t="n"/>
      <c r="N64" s="32" t="n"/>
      <c r="O64" s="29">
        <f>IF(AND(H64="PENDING",ISNUMBER(I64)),COUNTIFS($H$6:$H$105,"PENDING",$I$6:$I$105,"&gt;"&amp;I64)+COUNTIFS($H$6:H64,"PENDING",$I$6:I64,I64),"")</f>
        <v/>
      </c>
      <c r="P64" s="29">
        <f>IF(B64="","",IF(OR(C64="",E64="",F64=""),"Fill product, start date, qty",IF(AND(G64&lt;&gt;"",G64&lt;E64),"Clearance before start?","OK")))</f>
        <v/>
      </c>
    </row>
    <row r="65" ht="25.5" customHeight="1">
      <c r="A65" s="29" t="n">
        <v>60</v>
      </c>
      <c r="B65" s="30" t="n"/>
      <c r="C65" s="31" t="n"/>
      <c r="D65" s="30" t="n"/>
      <c r="E65" s="32" t="n"/>
      <c r="F65" s="33" t="n"/>
      <c r="G65" s="32" t="n"/>
      <c r="H65" s="34">
        <f>IF(B65="","",IF(G65&lt;&gt;"","CLEARED","PENDING"))</f>
        <v/>
      </c>
      <c r="I65" s="29">
        <f>IF(OR(B65="",E65=""),"",IF(G65&lt;&gt;"",G65-E65,TODAY()-E65))</f>
        <v/>
      </c>
      <c r="J65" s="29">
        <f>IF(H65="PENDING",IF(I65="","",IF(I65&gt;'GUIDE &amp; SETTINGS'!$C$7,"CRITICAL",IF(I65&gt;'GUIDE &amp; SETTINGS'!$C$6,"ATTENTION","ON TRACK"))),"")</f>
        <v/>
      </c>
      <c r="K65" s="30" t="n"/>
      <c r="L65" s="30" t="n"/>
      <c r="M65" s="30" t="n"/>
      <c r="N65" s="32" t="n"/>
      <c r="O65" s="29">
        <f>IF(AND(H65="PENDING",ISNUMBER(I65)),COUNTIFS($H$6:$H$105,"PENDING",$I$6:$I$105,"&gt;"&amp;I65)+COUNTIFS($H$6:H65,"PENDING",$I$6:I65,I65),"")</f>
        <v/>
      </c>
      <c r="P65" s="29">
        <f>IF(B65="","",IF(OR(C65="",E65="",F65=""),"Fill product, start date, qty",IF(AND(G65&lt;&gt;"",G65&lt;E65),"Clearance before start?","OK")))</f>
        <v/>
      </c>
    </row>
    <row r="66" ht="25.5" customHeight="1">
      <c r="A66" s="29" t="n">
        <v>61</v>
      </c>
      <c r="B66" s="30" t="n"/>
      <c r="C66" s="31" t="n"/>
      <c r="D66" s="30" t="n"/>
      <c r="E66" s="32" t="n"/>
      <c r="F66" s="33" t="n"/>
      <c r="G66" s="32" t="n"/>
      <c r="H66" s="34">
        <f>IF(B66="","",IF(G66&lt;&gt;"","CLEARED","PENDING"))</f>
        <v/>
      </c>
      <c r="I66" s="29">
        <f>IF(OR(B66="",E66=""),"",IF(G66&lt;&gt;"",G66-E66,TODAY()-E66))</f>
        <v/>
      </c>
      <c r="J66" s="29">
        <f>IF(H66="PENDING",IF(I66="","",IF(I66&gt;'GUIDE &amp; SETTINGS'!$C$7,"CRITICAL",IF(I66&gt;'GUIDE &amp; SETTINGS'!$C$6,"ATTENTION","ON TRACK"))),"")</f>
        <v/>
      </c>
      <c r="K66" s="30" t="n"/>
      <c r="L66" s="30" t="n"/>
      <c r="M66" s="30" t="n"/>
      <c r="N66" s="32" t="n"/>
      <c r="O66" s="29">
        <f>IF(AND(H66="PENDING",ISNUMBER(I66)),COUNTIFS($H$6:$H$105,"PENDING",$I$6:$I$105,"&gt;"&amp;I66)+COUNTIFS($H$6:H66,"PENDING",$I$6:I66,I66),"")</f>
        <v/>
      </c>
      <c r="P66" s="29">
        <f>IF(B66="","",IF(OR(C66="",E66="",F66=""),"Fill product, start date, qty",IF(AND(G66&lt;&gt;"",G66&lt;E66),"Clearance before start?","OK")))</f>
        <v/>
      </c>
    </row>
    <row r="67" ht="25.5" customHeight="1">
      <c r="A67" s="29" t="n">
        <v>62</v>
      </c>
      <c r="B67" s="30" t="n"/>
      <c r="C67" s="31" t="n"/>
      <c r="D67" s="30" t="n"/>
      <c r="E67" s="32" t="n"/>
      <c r="F67" s="33" t="n"/>
      <c r="G67" s="32" t="n"/>
      <c r="H67" s="34">
        <f>IF(B67="","",IF(G67&lt;&gt;"","CLEARED","PENDING"))</f>
        <v/>
      </c>
      <c r="I67" s="29">
        <f>IF(OR(B67="",E67=""),"",IF(G67&lt;&gt;"",G67-E67,TODAY()-E67))</f>
        <v/>
      </c>
      <c r="J67" s="29">
        <f>IF(H67="PENDING",IF(I67="","",IF(I67&gt;'GUIDE &amp; SETTINGS'!$C$7,"CRITICAL",IF(I67&gt;'GUIDE &amp; SETTINGS'!$C$6,"ATTENTION","ON TRACK"))),"")</f>
        <v/>
      </c>
      <c r="K67" s="30" t="n"/>
      <c r="L67" s="30" t="n"/>
      <c r="M67" s="30" t="n"/>
      <c r="N67" s="32" t="n"/>
      <c r="O67" s="29">
        <f>IF(AND(H67="PENDING",ISNUMBER(I67)),COUNTIFS($H$6:$H$105,"PENDING",$I$6:$I$105,"&gt;"&amp;I67)+COUNTIFS($H$6:H67,"PENDING",$I$6:I67,I67),"")</f>
        <v/>
      </c>
      <c r="P67" s="29">
        <f>IF(B67="","",IF(OR(C67="",E67="",F67=""),"Fill product, start date, qty",IF(AND(G67&lt;&gt;"",G67&lt;E67),"Clearance before start?","OK")))</f>
        <v/>
      </c>
    </row>
    <row r="68" ht="25.5" customHeight="1">
      <c r="A68" s="29" t="n">
        <v>63</v>
      </c>
      <c r="B68" s="30" t="n"/>
      <c r="C68" s="31" t="n"/>
      <c r="D68" s="30" t="n"/>
      <c r="E68" s="32" t="n"/>
      <c r="F68" s="33" t="n"/>
      <c r="G68" s="32" t="n"/>
      <c r="H68" s="34">
        <f>IF(B68="","",IF(G68&lt;&gt;"","CLEARED","PENDING"))</f>
        <v/>
      </c>
      <c r="I68" s="29">
        <f>IF(OR(B68="",E68=""),"",IF(G68&lt;&gt;"",G68-E68,TODAY()-E68))</f>
        <v/>
      </c>
      <c r="J68" s="29">
        <f>IF(H68="PENDING",IF(I68="","",IF(I68&gt;'GUIDE &amp; SETTINGS'!$C$7,"CRITICAL",IF(I68&gt;'GUIDE &amp; SETTINGS'!$C$6,"ATTENTION","ON TRACK"))),"")</f>
        <v/>
      </c>
      <c r="K68" s="30" t="n"/>
      <c r="L68" s="30" t="n"/>
      <c r="M68" s="30" t="n"/>
      <c r="N68" s="32" t="n"/>
      <c r="O68" s="29">
        <f>IF(AND(H68="PENDING",ISNUMBER(I68)),COUNTIFS($H$6:$H$105,"PENDING",$I$6:$I$105,"&gt;"&amp;I68)+COUNTIFS($H$6:H68,"PENDING",$I$6:I68,I68),"")</f>
        <v/>
      </c>
      <c r="P68" s="29">
        <f>IF(B68="","",IF(OR(C68="",E68="",F68=""),"Fill product, start date, qty",IF(AND(G68&lt;&gt;"",G68&lt;E68),"Clearance before start?","OK")))</f>
        <v/>
      </c>
    </row>
    <row r="69" ht="25.5" customHeight="1">
      <c r="A69" s="29" t="n">
        <v>64</v>
      </c>
      <c r="B69" s="30" t="n"/>
      <c r="C69" s="31" t="n"/>
      <c r="D69" s="30" t="n"/>
      <c r="E69" s="32" t="n"/>
      <c r="F69" s="33" t="n"/>
      <c r="G69" s="32" t="n"/>
      <c r="H69" s="34">
        <f>IF(B69="","",IF(G69&lt;&gt;"","CLEARED","PENDING"))</f>
        <v/>
      </c>
      <c r="I69" s="29">
        <f>IF(OR(B69="",E69=""),"",IF(G69&lt;&gt;"",G69-E69,TODAY()-E69))</f>
        <v/>
      </c>
      <c r="J69" s="29">
        <f>IF(H69="PENDING",IF(I69="","",IF(I69&gt;'GUIDE &amp; SETTINGS'!$C$7,"CRITICAL",IF(I69&gt;'GUIDE &amp; SETTINGS'!$C$6,"ATTENTION","ON TRACK"))),"")</f>
        <v/>
      </c>
      <c r="K69" s="30" t="n"/>
      <c r="L69" s="30" t="n"/>
      <c r="M69" s="30" t="n"/>
      <c r="N69" s="32" t="n"/>
      <c r="O69" s="29">
        <f>IF(AND(H69="PENDING",ISNUMBER(I69)),COUNTIFS($H$6:$H$105,"PENDING",$I$6:$I$105,"&gt;"&amp;I69)+COUNTIFS($H$6:H69,"PENDING",$I$6:I69,I69),"")</f>
        <v/>
      </c>
      <c r="P69" s="29">
        <f>IF(B69="","",IF(OR(C69="",E69="",F69=""),"Fill product, start date, qty",IF(AND(G69&lt;&gt;"",G69&lt;E69),"Clearance before start?","OK")))</f>
        <v/>
      </c>
    </row>
    <row r="70" ht="25.5" customHeight="1">
      <c r="A70" s="29" t="n">
        <v>65</v>
      </c>
      <c r="B70" s="30" t="n"/>
      <c r="C70" s="31" t="n"/>
      <c r="D70" s="30" t="n"/>
      <c r="E70" s="32" t="n"/>
      <c r="F70" s="33" t="n"/>
      <c r="G70" s="32" t="n"/>
      <c r="H70" s="34">
        <f>IF(B70="","",IF(G70&lt;&gt;"","CLEARED","PENDING"))</f>
        <v/>
      </c>
      <c r="I70" s="29">
        <f>IF(OR(B70="",E70=""),"",IF(G70&lt;&gt;"",G70-E70,TODAY()-E70))</f>
        <v/>
      </c>
      <c r="J70" s="29">
        <f>IF(H70="PENDING",IF(I70="","",IF(I70&gt;'GUIDE &amp; SETTINGS'!$C$7,"CRITICAL",IF(I70&gt;'GUIDE &amp; SETTINGS'!$C$6,"ATTENTION","ON TRACK"))),"")</f>
        <v/>
      </c>
      <c r="K70" s="30" t="n"/>
      <c r="L70" s="30" t="n"/>
      <c r="M70" s="30" t="n"/>
      <c r="N70" s="32" t="n"/>
      <c r="O70" s="29">
        <f>IF(AND(H70="PENDING",ISNUMBER(I70)),COUNTIFS($H$6:$H$105,"PENDING",$I$6:$I$105,"&gt;"&amp;I70)+COUNTIFS($H$6:H70,"PENDING",$I$6:I70,I70),"")</f>
        <v/>
      </c>
      <c r="P70" s="29">
        <f>IF(B70="","",IF(OR(C70="",E70="",F70=""),"Fill product, start date, qty",IF(AND(G70&lt;&gt;"",G70&lt;E70),"Clearance before start?","OK")))</f>
        <v/>
      </c>
    </row>
    <row r="71" ht="25.5" customHeight="1">
      <c r="A71" s="29" t="n">
        <v>66</v>
      </c>
      <c r="B71" s="30" t="n"/>
      <c r="C71" s="31" t="n"/>
      <c r="D71" s="30" t="n"/>
      <c r="E71" s="32" t="n"/>
      <c r="F71" s="33" t="n"/>
      <c r="G71" s="32" t="n"/>
      <c r="H71" s="34">
        <f>IF(B71="","",IF(G71&lt;&gt;"","CLEARED","PENDING"))</f>
        <v/>
      </c>
      <c r="I71" s="29">
        <f>IF(OR(B71="",E71=""),"",IF(G71&lt;&gt;"",G71-E71,TODAY()-E71))</f>
        <v/>
      </c>
      <c r="J71" s="29">
        <f>IF(H71="PENDING",IF(I71="","",IF(I71&gt;'GUIDE &amp; SETTINGS'!$C$7,"CRITICAL",IF(I71&gt;'GUIDE &amp; SETTINGS'!$C$6,"ATTENTION","ON TRACK"))),"")</f>
        <v/>
      </c>
      <c r="K71" s="30" t="n"/>
      <c r="L71" s="30" t="n"/>
      <c r="M71" s="30" t="n"/>
      <c r="N71" s="32" t="n"/>
      <c r="O71" s="29">
        <f>IF(AND(H71="PENDING",ISNUMBER(I71)),COUNTIFS($H$6:$H$105,"PENDING",$I$6:$I$105,"&gt;"&amp;I71)+COUNTIFS($H$6:H71,"PENDING",$I$6:I71,I71),"")</f>
        <v/>
      </c>
      <c r="P71" s="29">
        <f>IF(B71="","",IF(OR(C71="",E71="",F71=""),"Fill product, start date, qty",IF(AND(G71&lt;&gt;"",G71&lt;E71),"Clearance before start?","OK")))</f>
        <v/>
      </c>
    </row>
    <row r="72" ht="25.5" customHeight="1">
      <c r="A72" s="29" t="n">
        <v>67</v>
      </c>
      <c r="B72" s="30" t="n"/>
      <c r="C72" s="31" t="n"/>
      <c r="D72" s="30" t="n"/>
      <c r="E72" s="32" t="n"/>
      <c r="F72" s="33" t="n"/>
      <c r="G72" s="32" t="n"/>
      <c r="H72" s="34">
        <f>IF(B72="","",IF(G72&lt;&gt;"","CLEARED","PENDING"))</f>
        <v/>
      </c>
      <c r="I72" s="29">
        <f>IF(OR(B72="",E72=""),"",IF(G72&lt;&gt;"",G72-E72,TODAY()-E72))</f>
        <v/>
      </c>
      <c r="J72" s="29">
        <f>IF(H72="PENDING",IF(I72="","",IF(I72&gt;'GUIDE &amp; SETTINGS'!$C$7,"CRITICAL",IF(I72&gt;'GUIDE &amp; SETTINGS'!$C$6,"ATTENTION","ON TRACK"))),"")</f>
        <v/>
      </c>
      <c r="K72" s="30" t="n"/>
      <c r="L72" s="30" t="n"/>
      <c r="M72" s="30" t="n"/>
      <c r="N72" s="32" t="n"/>
      <c r="O72" s="29">
        <f>IF(AND(H72="PENDING",ISNUMBER(I72)),COUNTIFS($H$6:$H$105,"PENDING",$I$6:$I$105,"&gt;"&amp;I72)+COUNTIFS($H$6:H72,"PENDING",$I$6:I72,I72),"")</f>
        <v/>
      </c>
      <c r="P72" s="29">
        <f>IF(B72="","",IF(OR(C72="",E72="",F72=""),"Fill product, start date, qty",IF(AND(G72&lt;&gt;"",G72&lt;E72),"Clearance before start?","OK")))</f>
        <v/>
      </c>
    </row>
    <row r="73" ht="25.5" customHeight="1">
      <c r="A73" s="29" t="n">
        <v>68</v>
      </c>
      <c r="B73" s="30" t="n"/>
      <c r="C73" s="31" t="n"/>
      <c r="D73" s="30" t="n"/>
      <c r="E73" s="32" t="n"/>
      <c r="F73" s="33" t="n"/>
      <c r="G73" s="32" t="n"/>
      <c r="H73" s="34">
        <f>IF(B73="","",IF(G73&lt;&gt;"","CLEARED","PENDING"))</f>
        <v/>
      </c>
      <c r="I73" s="29">
        <f>IF(OR(B73="",E73=""),"",IF(G73&lt;&gt;"",G73-E73,TODAY()-E73))</f>
        <v/>
      </c>
      <c r="J73" s="29">
        <f>IF(H73="PENDING",IF(I73="","",IF(I73&gt;'GUIDE &amp; SETTINGS'!$C$7,"CRITICAL",IF(I73&gt;'GUIDE &amp; SETTINGS'!$C$6,"ATTENTION","ON TRACK"))),"")</f>
        <v/>
      </c>
      <c r="K73" s="30" t="n"/>
      <c r="L73" s="30" t="n"/>
      <c r="M73" s="30" t="n"/>
      <c r="N73" s="32" t="n"/>
      <c r="O73" s="29">
        <f>IF(AND(H73="PENDING",ISNUMBER(I73)),COUNTIFS($H$6:$H$105,"PENDING",$I$6:$I$105,"&gt;"&amp;I73)+COUNTIFS($H$6:H73,"PENDING",$I$6:I73,I73),"")</f>
        <v/>
      </c>
      <c r="P73" s="29">
        <f>IF(B73="","",IF(OR(C73="",E73="",F73=""),"Fill product, start date, qty",IF(AND(G73&lt;&gt;"",G73&lt;E73),"Clearance before start?","OK")))</f>
        <v/>
      </c>
    </row>
    <row r="74" ht="25.5" customHeight="1">
      <c r="A74" s="29" t="n">
        <v>69</v>
      </c>
      <c r="B74" s="30" t="n"/>
      <c r="C74" s="31" t="n"/>
      <c r="D74" s="30" t="n"/>
      <c r="E74" s="32" t="n"/>
      <c r="F74" s="33" t="n"/>
      <c r="G74" s="32" t="n"/>
      <c r="H74" s="34">
        <f>IF(B74="","",IF(G74&lt;&gt;"","CLEARED","PENDING"))</f>
        <v/>
      </c>
      <c r="I74" s="29">
        <f>IF(OR(B74="",E74=""),"",IF(G74&lt;&gt;"",G74-E74,TODAY()-E74))</f>
        <v/>
      </c>
      <c r="J74" s="29">
        <f>IF(H74="PENDING",IF(I74="","",IF(I74&gt;'GUIDE &amp; SETTINGS'!$C$7,"CRITICAL",IF(I74&gt;'GUIDE &amp; SETTINGS'!$C$6,"ATTENTION","ON TRACK"))),"")</f>
        <v/>
      </c>
      <c r="K74" s="30" t="n"/>
      <c r="L74" s="30" t="n"/>
      <c r="M74" s="30" t="n"/>
      <c r="N74" s="32" t="n"/>
      <c r="O74" s="29">
        <f>IF(AND(H74="PENDING",ISNUMBER(I74)),COUNTIFS($H$6:$H$105,"PENDING",$I$6:$I$105,"&gt;"&amp;I74)+COUNTIFS($H$6:H74,"PENDING",$I$6:I74,I74),"")</f>
        <v/>
      </c>
      <c r="P74" s="29">
        <f>IF(B74="","",IF(OR(C74="",E74="",F74=""),"Fill product, start date, qty",IF(AND(G74&lt;&gt;"",G74&lt;E74),"Clearance before start?","OK")))</f>
        <v/>
      </c>
    </row>
    <row r="75" ht="25.5" customHeight="1">
      <c r="A75" s="29" t="n">
        <v>70</v>
      </c>
      <c r="B75" s="30" t="n"/>
      <c r="C75" s="31" t="n"/>
      <c r="D75" s="30" t="n"/>
      <c r="E75" s="32" t="n"/>
      <c r="F75" s="33" t="n"/>
      <c r="G75" s="32" t="n"/>
      <c r="H75" s="34">
        <f>IF(B75="","",IF(G75&lt;&gt;"","CLEARED","PENDING"))</f>
        <v/>
      </c>
      <c r="I75" s="29">
        <f>IF(OR(B75="",E75=""),"",IF(G75&lt;&gt;"",G75-E75,TODAY()-E75))</f>
        <v/>
      </c>
      <c r="J75" s="29">
        <f>IF(H75="PENDING",IF(I75="","",IF(I75&gt;'GUIDE &amp; SETTINGS'!$C$7,"CRITICAL",IF(I75&gt;'GUIDE &amp; SETTINGS'!$C$6,"ATTENTION","ON TRACK"))),"")</f>
        <v/>
      </c>
      <c r="K75" s="30" t="n"/>
      <c r="L75" s="30" t="n"/>
      <c r="M75" s="30" t="n"/>
      <c r="N75" s="32" t="n"/>
      <c r="O75" s="29">
        <f>IF(AND(H75="PENDING",ISNUMBER(I75)),COUNTIFS($H$6:$H$105,"PENDING",$I$6:$I$105,"&gt;"&amp;I75)+COUNTIFS($H$6:H75,"PENDING",$I$6:I75,I75),"")</f>
        <v/>
      </c>
      <c r="P75" s="29">
        <f>IF(B75="","",IF(OR(C75="",E75="",F75=""),"Fill product, start date, qty",IF(AND(G75&lt;&gt;"",G75&lt;E75),"Clearance before start?","OK")))</f>
        <v/>
      </c>
    </row>
    <row r="76" ht="25.5" customHeight="1">
      <c r="A76" s="29" t="n">
        <v>71</v>
      </c>
      <c r="B76" s="30" t="n"/>
      <c r="C76" s="31" t="n"/>
      <c r="D76" s="30" t="n"/>
      <c r="E76" s="32" t="n"/>
      <c r="F76" s="33" t="n"/>
      <c r="G76" s="32" t="n"/>
      <c r="H76" s="34">
        <f>IF(B76="","",IF(G76&lt;&gt;"","CLEARED","PENDING"))</f>
        <v/>
      </c>
      <c r="I76" s="29">
        <f>IF(OR(B76="",E76=""),"",IF(G76&lt;&gt;"",G76-E76,TODAY()-E76))</f>
        <v/>
      </c>
      <c r="J76" s="29">
        <f>IF(H76="PENDING",IF(I76="","",IF(I76&gt;'GUIDE &amp; SETTINGS'!$C$7,"CRITICAL",IF(I76&gt;'GUIDE &amp; SETTINGS'!$C$6,"ATTENTION","ON TRACK"))),"")</f>
        <v/>
      </c>
      <c r="K76" s="30" t="n"/>
      <c r="L76" s="30" t="n"/>
      <c r="M76" s="30" t="n"/>
      <c r="N76" s="32" t="n"/>
      <c r="O76" s="29">
        <f>IF(AND(H76="PENDING",ISNUMBER(I76)),COUNTIFS($H$6:$H$105,"PENDING",$I$6:$I$105,"&gt;"&amp;I76)+COUNTIFS($H$6:H76,"PENDING",$I$6:I76,I76),"")</f>
        <v/>
      </c>
      <c r="P76" s="29">
        <f>IF(B76="","",IF(OR(C76="",E76="",F76=""),"Fill product, start date, qty",IF(AND(G76&lt;&gt;"",G76&lt;E76),"Clearance before start?","OK")))</f>
        <v/>
      </c>
    </row>
    <row r="77" ht="25.5" customHeight="1">
      <c r="A77" s="29" t="n">
        <v>72</v>
      </c>
      <c r="B77" s="30" t="n"/>
      <c r="C77" s="31" t="n"/>
      <c r="D77" s="30" t="n"/>
      <c r="E77" s="32" t="n"/>
      <c r="F77" s="33" t="n"/>
      <c r="G77" s="32" t="n"/>
      <c r="H77" s="34">
        <f>IF(B77="","",IF(G77&lt;&gt;"","CLEARED","PENDING"))</f>
        <v/>
      </c>
      <c r="I77" s="29">
        <f>IF(OR(B77="",E77=""),"",IF(G77&lt;&gt;"",G77-E77,TODAY()-E77))</f>
        <v/>
      </c>
      <c r="J77" s="29">
        <f>IF(H77="PENDING",IF(I77="","",IF(I77&gt;'GUIDE &amp; SETTINGS'!$C$7,"CRITICAL",IF(I77&gt;'GUIDE &amp; SETTINGS'!$C$6,"ATTENTION","ON TRACK"))),"")</f>
        <v/>
      </c>
      <c r="K77" s="30" t="n"/>
      <c r="L77" s="30" t="n"/>
      <c r="M77" s="30" t="n"/>
      <c r="N77" s="32" t="n"/>
      <c r="O77" s="29">
        <f>IF(AND(H77="PENDING",ISNUMBER(I77)),COUNTIFS($H$6:$H$105,"PENDING",$I$6:$I$105,"&gt;"&amp;I77)+COUNTIFS($H$6:H77,"PENDING",$I$6:I77,I77),"")</f>
        <v/>
      </c>
      <c r="P77" s="29">
        <f>IF(B77="","",IF(OR(C77="",E77="",F77=""),"Fill product, start date, qty",IF(AND(G77&lt;&gt;"",G77&lt;E77),"Clearance before start?","OK")))</f>
        <v/>
      </c>
    </row>
    <row r="78" ht="25.5" customHeight="1">
      <c r="A78" s="29" t="n">
        <v>73</v>
      </c>
      <c r="B78" s="30" t="n"/>
      <c r="C78" s="31" t="n"/>
      <c r="D78" s="30" t="n"/>
      <c r="E78" s="32" t="n"/>
      <c r="F78" s="33" t="n"/>
      <c r="G78" s="32" t="n"/>
      <c r="H78" s="34">
        <f>IF(B78="","",IF(G78&lt;&gt;"","CLEARED","PENDING"))</f>
        <v/>
      </c>
      <c r="I78" s="29">
        <f>IF(OR(B78="",E78=""),"",IF(G78&lt;&gt;"",G78-E78,TODAY()-E78))</f>
        <v/>
      </c>
      <c r="J78" s="29">
        <f>IF(H78="PENDING",IF(I78="","",IF(I78&gt;'GUIDE &amp; SETTINGS'!$C$7,"CRITICAL",IF(I78&gt;'GUIDE &amp; SETTINGS'!$C$6,"ATTENTION","ON TRACK"))),"")</f>
        <v/>
      </c>
      <c r="K78" s="30" t="n"/>
      <c r="L78" s="30" t="n"/>
      <c r="M78" s="30" t="n"/>
      <c r="N78" s="32" t="n"/>
      <c r="O78" s="29">
        <f>IF(AND(H78="PENDING",ISNUMBER(I78)),COUNTIFS($H$6:$H$105,"PENDING",$I$6:$I$105,"&gt;"&amp;I78)+COUNTIFS($H$6:H78,"PENDING",$I$6:I78,I78),"")</f>
        <v/>
      </c>
      <c r="P78" s="29">
        <f>IF(B78="","",IF(OR(C78="",E78="",F78=""),"Fill product, start date, qty",IF(AND(G78&lt;&gt;"",G78&lt;E78),"Clearance before start?","OK")))</f>
        <v/>
      </c>
    </row>
    <row r="79" ht="25.5" customHeight="1">
      <c r="A79" s="29" t="n">
        <v>74</v>
      </c>
      <c r="B79" s="30" t="n"/>
      <c r="C79" s="31" t="n"/>
      <c r="D79" s="30" t="n"/>
      <c r="E79" s="32" t="n"/>
      <c r="F79" s="33" t="n"/>
      <c r="G79" s="32" t="n"/>
      <c r="H79" s="34">
        <f>IF(B79="","",IF(G79&lt;&gt;"","CLEARED","PENDING"))</f>
        <v/>
      </c>
      <c r="I79" s="29">
        <f>IF(OR(B79="",E79=""),"",IF(G79&lt;&gt;"",G79-E79,TODAY()-E79))</f>
        <v/>
      </c>
      <c r="J79" s="29">
        <f>IF(H79="PENDING",IF(I79="","",IF(I79&gt;'GUIDE &amp; SETTINGS'!$C$7,"CRITICAL",IF(I79&gt;'GUIDE &amp; SETTINGS'!$C$6,"ATTENTION","ON TRACK"))),"")</f>
        <v/>
      </c>
      <c r="K79" s="30" t="n"/>
      <c r="L79" s="30" t="n"/>
      <c r="M79" s="30" t="n"/>
      <c r="N79" s="32" t="n"/>
      <c r="O79" s="29">
        <f>IF(AND(H79="PENDING",ISNUMBER(I79)),COUNTIFS($H$6:$H$105,"PENDING",$I$6:$I$105,"&gt;"&amp;I79)+COUNTIFS($H$6:H79,"PENDING",$I$6:I79,I79),"")</f>
        <v/>
      </c>
      <c r="P79" s="29">
        <f>IF(B79="","",IF(OR(C79="",E79="",F79=""),"Fill product, start date, qty",IF(AND(G79&lt;&gt;"",G79&lt;E79),"Clearance before start?","OK")))</f>
        <v/>
      </c>
    </row>
    <row r="80" ht="25.5" customHeight="1">
      <c r="A80" s="29" t="n">
        <v>75</v>
      </c>
      <c r="B80" s="30" t="n"/>
      <c r="C80" s="31" t="n"/>
      <c r="D80" s="30" t="n"/>
      <c r="E80" s="32" t="n"/>
      <c r="F80" s="33" t="n"/>
      <c r="G80" s="32" t="n"/>
      <c r="H80" s="34">
        <f>IF(B80="","",IF(G80&lt;&gt;"","CLEARED","PENDING"))</f>
        <v/>
      </c>
      <c r="I80" s="29">
        <f>IF(OR(B80="",E80=""),"",IF(G80&lt;&gt;"",G80-E80,TODAY()-E80))</f>
        <v/>
      </c>
      <c r="J80" s="29">
        <f>IF(H80="PENDING",IF(I80="","",IF(I80&gt;'GUIDE &amp; SETTINGS'!$C$7,"CRITICAL",IF(I80&gt;'GUIDE &amp; SETTINGS'!$C$6,"ATTENTION","ON TRACK"))),"")</f>
        <v/>
      </c>
      <c r="K80" s="30" t="n"/>
      <c r="L80" s="30" t="n"/>
      <c r="M80" s="30" t="n"/>
      <c r="N80" s="32" t="n"/>
      <c r="O80" s="29">
        <f>IF(AND(H80="PENDING",ISNUMBER(I80)),COUNTIFS($H$6:$H$105,"PENDING",$I$6:$I$105,"&gt;"&amp;I80)+COUNTIFS($H$6:H80,"PENDING",$I$6:I80,I80),"")</f>
        <v/>
      </c>
      <c r="P80" s="29">
        <f>IF(B80="","",IF(OR(C80="",E80="",F80=""),"Fill product, start date, qty",IF(AND(G80&lt;&gt;"",G80&lt;E80),"Clearance before start?","OK")))</f>
        <v/>
      </c>
    </row>
    <row r="81" ht="25.5" customHeight="1">
      <c r="A81" s="29" t="n">
        <v>76</v>
      </c>
      <c r="B81" s="30" t="n"/>
      <c r="C81" s="31" t="n"/>
      <c r="D81" s="30" t="n"/>
      <c r="E81" s="32" t="n"/>
      <c r="F81" s="33" t="n"/>
      <c r="G81" s="32" t="n"/>
      <c r="H81" s="34">
        <f>IF(B81="","",IF(G81&lt;&gt;"","CLEARED","PENDING"))</f>
        <v/>
      </c>
      <c r="I81" s="29">
        <f>IF(OR(B81="",E81=""),"",IF(G81&lt;&gt;"",G81-E81,TODAY()-E81))</f>
        <v/>
      </c>
      <c r="J81" s="29">
        <f>IF(H81="PENDING",IF(I81="","",IF(I81&gt;'GUIDE &amp; SETTINGS'!$C$7,"CRITICAL",IF(I81&gt;'GUIDE &amp; SETTINGS'!$C$6,"ATTENTION","ON TRACK"))),"")</f>
        <v/>
      </c>
      <c r="K81" s="30" t="n"/>
      <c r="L81" s="30" t="n"/>
      <c r="M81" s="30" t="n"/>
      <c r="N81" s="32" t="n"/>
      <c r="O81" s="29">
        <f>IF(AND(H81="PENDING",ISNUMBER(I81)),COUNTIFS($H$6:$H$105,"PENDING",$I$6:$I$105,"&gt;"&amp;I81)+COUNTIFS($H$6:H81,"PENDING",$I$6:I81,I81),"")</f>
        <v/>
      </c>
      <c r="P81" s="29">
        <f>IF(B81="","",IF(OR(C81="",E81="",F81=""),"Fill product, start date, qty",IF(AND(G81&lt;&gt;"",G81&lt;E81),"Clearance before start?","OK")))</f>
        <v/>
      </c>
    </row>
    <row r="82" ht="25.5" customHeight="1">
      <c r="A82" s="29" t="n">
        <v>77</v>
      </c>
      <c r="B82" s="30" t="n"/>
      <c r="C82" s="31" t="n"/>
      <c r="D82" s="30" t="n"/>
      <c r="E82" s="32" t="n"/>
      <c r="F82" s="33" t="n"/>
      <c r="G82" s="32" t="n"/>
      <c r="H82" s="34">
        <f>IF(B82="","",IF(G82&lt;&gt;"","CLEARED","PENDING"))</f>
        <v/>
      </c>
      <c r="I82" s="29">
        <f>IF(OR(B82="",E82=""),"",IF(G82&lt;&gt;"",G82-E82,TODAY()-E82))</f>
        <v/>
      </c>
      <c r="J82" s="29">
        <f>IF(H82="PENDING",IF(I82="","",IF(I82&gt;'GUIDE &amp; SETTINGS'!$C$7,"CRITICAL",IF(I82&gt;'GUIDE &amp; SETTINGS'!$C$6,"ATTENTION","ON TRACK"))),"")</f>
        <v/>
      </c>
      <c r="K82" s="30" t="n"/>
      <c r="L82" s="30" t="n"/>
      <c r="M82" s="30" t="n"/>
      <c r="N82" s="32" t="n"/>
      <c r="O82" s="29">
        <f>IF(AND(H82="PENDING",ISNUMBER(I82)),COUNTIFS($H$6:$H$105,"PENDING",$I$6:$I$105,"&gt;"&amp;I82)+COUNTIFS($H$6:H82,"PENDING",$I$6:I82,I82),"")</f>
        <v/>
      </c>
      <c r="P82" s="29">
        <f>IF(B82="","",IF(OR(C82="",E82="",F82=""),"Fill product, start date, qty",IF(AND(G82&lt;&gt;"",G82&lt;E82),"Clearance before start?","OK")))</f>
        <v/>
      </c>
    </row>
    <row r="83" ht="25.5" customHeight="1">
      <c r="A83" s="29" t="n">
        <v>78</v>
      </c>
      <c r="B83" s="30" t="n"/>
      <c r="C83" s="31" t="n"/>
      <c r="D83" s="30" t="n"/>
      <c r="E83" s="32" t="n"/>
      <c r="F83" s="33" t="n"/>
      <c r="G83" s="32" t="n"/>
      <c r="H83" s="34">
        <f>IF(B83="","",IF(G83&lt;&gt;"","CLEARED","PENDING"))</f>
        <v/>
      </c>
      <c r="I83" s="29">
        <f>IF(OR(B83="",E83=""),"",IF(G83&lt;&gt;"",G83-E83,TODAY()-E83))</f>
        <v/>
      </c>
      <c r="J83" s="29">
        <f>IF(H83="PENDING",IF(I83="","",IF(I83&gt;'GUIDE &amp; SETTINGS'!$C$7,"CRITICAL",IF(I83&gt;'GUIDE &amp; SETTINGS'!$C$6,"ATTENTION","ON TRACK"))),"")</f>
        <v/>
      </c>
      <c r="K83" s="30" t="n"/>
      <c r="L83" s="30" t="n"/>
      <c r="M83" s="30" t="n"/>
      <c r="N83" s="32" t="n"/>
      <c r="O83" s="29">
        <f>IF(AND(H83="PENDING",ISNUMBER(I83)),COUNTIFS($H$6:$H$105,"PENDING",$I$6:$I$105,"&gt;"&amp;I83)+COUNTIFS($H$6:H83,"PENDING",$I$6:I83,I83),"")</f>
        <v/>
      </c>
      <c r="P83" s="29">
        <f>IF(B83="","",IF(OR(C83="",E83="",F83=""),"Fill product, start date, qty",IF(AND(G83&lt;&gt;"",G83&lt;E83),"Clearance before start?","OK")))</f>
        <v/>
      </c>
    </row>
    <row r="84" ht="25.5" customHeight="1">
      <c r="A84" s="29" t="n">
        <v>79</v>
      </c>
      <c r="B84" s="30" t="n"/>
      <c r="C84" s="31" t="n"/>
      <c r="D84" s="30" t="n"/>
      <c r="E84" s="32" t="n"/>
      <c r="F84" s="33" t="n"/>
      <c r="G84" s="32" t="n"/>
      <c r="H84" s="34">
        <f>IF(B84="","",IF(G84&lt;&gt;"","CLEARED","PENDING"))</f>
        <v/>
      </c>
      <c r="I84" s="29">
        <f>IF(OR(B84="",E84=""),"",IF(G84&lt;&gt;"",G84-E84,TODAY()-E84))</f>
        <v/>
      </c>
      <c r="J84" s="29">
        <f>IF(H84="PENDING",IF(I84="","",IF(I84&gt;'GUIDE &amp; SETTINGS'!$C$7,"CRITICAL",IF(I84&gt;'GUIDE &amp; SETTINGS'!$C$6,"ATTENTION","ON TRACK"))),"")</f>
        <v/>
      </c>
      <c r="K84" s="30" t="n"/>
      <c r="L84" s="30" t="n"/>
      <c r="M84" s="30" t="n"/>
      <c r="N84" s="32" t="n"/>
      <c r="O84" s="29">
        <f>IF(AND(H84="PENDING",ISNUMBER(I84)),COUNTIFS($H$6:$H$105,"PENDING",$I$6:$I$105,"&gt;"&amp;I84)+COUNTIFS($H$6:H84,"PENDING",$I$6:I84,I84),"")</f>
        <v/>
      </c>
      <c r="P84" s="29">
        <f>IF(B84="","",IF(OR(C84="",E84="",F84=""),"Fill product, start date, qty",IF(AND(G84&lt;&gt;"",G84&lt;E84),"Clearance before start?","OK")))</f>
        <v/>
      </c>
    </row>
    <row r="85" ht="25.5" customHeight="1">
      <c r="A85" s="29" t="n">
        <v>80</v>
      </c>
      <c r="B85" s="30" t="n"/>
      <c r="C85" s="31" t="n"/>
      <c r="D85" s="30" t="n"/>
      <c r="E85" s="32" t="n"/>
      <c r="F85" s="33" t="n"/>
      <c r="G85" s="32" t="n"/>
      <c r="H85" s="34">
        <f>IF(B85="","",IF(G85&lt;&gt;"","CLEARED","PENDING"))</f>
        <v/>
      </c>
      <c r="I85" s="29">
        <f>IF(OR(B85="",E85=""),"",IF(G85&lt;&gt;"",G85-E85,TODAY()-E85))</f>
        <v/>
      </c>
      <c r="J85" s="29">
        <f>IF(H85="PENDING",IF(I85="","",IF(I85&gt;'GUIDE &amp; SETTINGS'!$C$7,"CRITICAL",IF(I85&gt;'GUIDE &amp; SETTINGS'!$C$6,"ATTENTION","ON TRACK"))),"")</f>
        <v/>
      </c>
      <c r="K85" s="30" t="n"/>
      <c r="L85" s="30" t="n"/>
      <c r="M85" s="30" t="n"/>
      <c r="N85" s="32" t="n"/>
      <c r="O85" s="29">
        <f>IF(AND(H85="PENDING",ISNUMBER(I85)),COUNTIFS($H$6:$H$105,"PENDING",$I$6:$I$105,"&gt;"&amp;I85)+COUNTIFS($H$6:H85,"PENDING",$I$6:I85,I85),"")</f>
        <v/>
      </c>
      <c r="P85" s="29">
        <f>IF(B85="","",IF(OR(C85="",E85="",F85=""),"Fill product, start date, qty",IF(AND(G85&lt;&gt;"",G85&lt;E85),"Clearance before start?","OK")))</f>
        <v/>
      </c>
    </row>
    <row r="86" ht="25.5" customHeight="1">
      <c r="A86" s="29" t="n">
        <v>81</v>
      </c>
      <c r="B86" s="30" t="n"/>
      <c r="C86" s="31" t="n"/>
      <c r="D86" s="30" t="n"/>
      <c r="E86" s="32" t="n"/>
      <c r="F86" s="33" t="n"/>
      <c r="G86" s="32" t="n"/>
      <c r="H86" s="34">
        <f>IF(B86="","",IF(G86&lt;&gt;"","CLEARED","PENDING"))</f>
        <v/>
      </c>
      <c r="I86" s="29">
        <f>IF(OR(B86="",E86=""),"",IF(G86&lt;&gt;"",G86-E86,TODAY()-E86))</f>
        <v/>
      </c>
      <c r="J86" s="29">
        <f>IF(H86="PENDING",IF(I86="","",IF(I86&gt;'GUIDE &amp; SETTINGS'!$C$7,"CRITICAL",IF(I86&gt;'GUIDE &amp; SETTINGS'!$C$6,"ATTENTION","ON TRACK"))),"")</f>
        <v/>
      </c>
      <c r="K86" s="30" t="n"/>
      <c r="L86" s="30" t="n"/>
      <c r="M86" s="30" t="n"/>
      <c r="N86" s="32" t="n"/>
      <c r="O86" s="29">
        <f>IF(AND(H86="PENDING",ISNUMBER(I86)),COUNTIFS($H$6:$H$105,"PENDING",$I$6:$I$105,"&gt;"&amp;I86)+COUNTIFS($H$6:H86,"PENDING",$I$6:I86,I86),"")</f>
        <v/>
      </c>
      <c r="P86" s="29">
        <f>IF(B86="","",IF(OR(C86="",E86="",F86=""),"Fill product, start date, qty",IF(AND(G86&lt;&gt;"",G86&lt;E86),"Clearance before start?","OK")))</f>
        <v/>
      </c>
    </row>
    <row r="87" ht="25.5" customHeight="1">
      <c r="A87" s="29" t="n">
        <v>82</v>
      </c>
      <c r="B87" s="30" t="n"/>
      <c r="C87" s="31" t="n"/>
      <c r="D87" s="30" t="n"/>
      <c r="E87" s="32" t="n"/>
      <c r="F87" s="33" t="n"/>
      <c r="G87" s="32" t="n"/>
      <c r="H87" s="34">
        <f>IF(B87="","",IF(G87&lt;&gt;"","CLEARED","PENDING"))</f>
        <v/>
      </c>
      <c r="I87" s="29">
        <f>IF(OR(B87="",E87=""),"",IF(G87&lt;&gt;"",G87-E87,TODAY()-E87))</f>
        <v/>
      </c>
      <c r="J87" s="29">
        <f>IF(H87="PENDING",IF(I87="","",IF(I87&gt;'GUIDE &amp; SETTINGS'!$C$7,"CRITICAL",IF(I87&gt;'GUIDE &amp; SETTINGS'!$C$6,"ATTENTION","ON TRACK"))),"")</f>
        <v/>
      </c>
      <c r="K87" s="30" t="n"/>
      <c r="L87" s="30" t="n"/>
      <c r="M87" s="30" t="n"/>
      <c r="N87" s="32" t="n"/>
      <c r="O87" s="29">
        <f>IF(AND(H87="PENDING",ISNUMBER(I87)),COUNTIFS($H$6:$H$105,"PENDING",$I$6:$I$105,"&gt;"&amp;I87)+COUNTIFS($H$6:H87,"PENDING",$I$6:I87,I87),"")</f>
        <v/>
      </c>
      <c r="P87" s="29">
        <f>IF(B87="","",IF(OR(C87="",E87="",F87=""),"Fill product, start date, qty",IF(AND(G87&lt;&gt;"",G87&lt;E87),"Clearance before start?","OK")))</f>
        <v/>
      </c>
    </row>
    <row r="88" ht="25.5" customHeight="1">
      <c r="A88" s="29" t="n">
        <v>83</v>
      </c>
      <c r="B88" s="30" t="n"/>
      <c r="C88" s="31" t="n"/>
      <c r="D88" s="30" t="n"/>
      <c r="E88" s="32" t="n"/>
      <c r="F88" s="33" t="n"/>
      <c r="G88" s="32" t="n"/>
      <c r="H88" s="34">
        <f>IF(B88="","",IF(G88&lt;&gt;"","CLEARED","PENDING"))</f>
        <v/>
      </c>
      <c r="I88" s="29">
        <f>IF(OR(B88="",E88=""),"",IF(G88&lt;&gt;"",G88-E88,TODAY()-E88))</f>
        <v/>
      </c>
      <c r="J88" s="29">
        <f>IF(H88="PENDING",IF(I88="","",IF(I88&gt;'GUIDE &amp; SETTINGS'!$C$7,"CRITICAL",IF(I88&gt;'GUIDE &amp; SETTINGS'!$C$6,"ATTENTION","ON TRACK"))),"")</f>
        <v/>
      </c>
      <c r="K88" s="30" t="n"/>
      <c r="L88" s="30" t="n"/>
      <c r="M88" s="30" t="n"/>
      <c r="N88" s="32" t="n"/>
      <c r="O88" s="29">
        <f>IF(AND(H88="PENDING",ISNUMBER(I88)),COUNTIFS($H$6:$H$105,"PENDING",$I$6:$I$105,"&gt;"&amp;I88)+COUNTIFS($H$6:H88,"PENDING",$I$6:I88,I88),"")</f>
        <v/>
      </c>
      <c r="P88" s="29">
        <f>IF(B88="","",IF(OR(C88="",E88="",F88=""),"Fill product, start date, qty",IF(AND(G88&lt;&gt;"",G88&lt;E88),"Clearance before start?","OK")))</f>
        <v/>
      </c>
    </row>
    <row r="89" ht="25.5" customHeight="1">
      <c r="A89" s="29" t="n">
        <v>84</v>
      </c>
      <c r="B89" s="30" t="n"/>
      <c r="C89" s="31" t="n"/>
      <c r="D89" s="30" t="n"/>
      <c r="E89" s="32" t="n"/>
      <c r="F89" s="33" t="n"/>
      <c r="G89" s="32" t="n"/>
      <c r="H89" s="34">
        <f>IF(B89="","",IF(G89&lt;&gt;"","CLEARED","PENDING"))</f>
        <v/>
      </c>
      <c r="I89" s="29">
        <f>IF(OR(B89="",E89=""),"",IF(G89&lt;&gt;"",G89-E89,TODAY()-E89))</f>
        <v/>
      </c>
      <c r="J89" s="29">
        <f>IF(H89="PENDING",IF(I89="","",IF(I89&gt;'GUIDE &amp; SETTINGS'!$C$7,"CRITICAL",IF(I89&gt;'GUIDE &amp; SETTINGS'!$C$6,"ATTENTION","ON TRACK"))),"")</f>
        <v/>
      </c>
      <c r="K89" s="30" t="n"/>
      <c r="L89" s="30" t="n"/>
      <c r="M89" s="30" t="n"/>
      <c r="N89" s="32" t="n"/>
      <c r="O89" s="29">
        <f>IF(AND(H89="PENDING",ISNUMBER(I89)),COUNTIFS($H$6:$H$105,"PENDING",$I$6:$I$105,"&gt;"&amp;I89)+COUNTIFS($H$6:H89,"PENDING",$I$6:I89,I89),"")</f>
        <v/>
      </c>
      <c r="P89" s="29">
        <f>IF(B89="","",IF(OR(C89="",E89="",F89=""),"Fill product, start date, qty",IF(AND(G89&lt;&gt;"",G89&lt;E89),"Clearance before start?","OK")))</f>
        <v/>
      </c>
    </row>
    <row r="90" ht="25.5" customHeight="1">
      <c r="A90" s="29" t="n">
        <v>85</v>
      </c>
      <c r="B90" s="30" t="n"/>
      <c r="C90" s="31" t="n"/>
      <c r="D90" s="30" t="n"/>
      <c r="E90" s="32" t="n"/>
      <c r="F90" s="33" t="n"/>
      <c r="G90" s="32" t="n"/>
      <c r="H90" s="34">
        <f>IF(B90="","",IF(G90&lt;&gt;"","CLEARED","PENDING"))</f>
        <v/>
      </c>
      <c r="I90" s="29">
        <f>IF(OR(B90="",E90=""),"",IF(G90&lt;&gt;"",G90-E90,TODAY()-E90))</f>
        <v/>
      </c>
      <c r="J90" s="29">
        <f>IF(H90="PENDING",IF(I90="","",IF(I90&gt;'GUIDE &amp; SETTINGS'!$C$7,"CRITICAL",IF(I90&gt;'GUIDE &amp; SETTINGS'!$C$6,"ATTENTION","ON TRACK"))),"")</f>
        <v/>
      </c>
      <c r="K90" s="30" t="n"/>
      <c r="L90" s="30" t="n"/>
      <c r="M90" s="30" t="n"/>
      <c r="N90" s="32" t="n"/>
      <c r="O90" s="29">
        <f>IF(AND(H90="PENDING",ISNUMBER(I90)),COUNTIFS($H$6:$H$105,"PENDING",$I$6:$I$105,"&gt;"&amp;I90)+COUNTIFS($H$6:H90,"PENDING",$I$6:I90,I90),"")</f>
        <v/>
      </c>
      <c r="P90" s="29">
        <f>IF(B90="","",IF(OR(C90="",E90="",F90=""),"Fill product, start date, qty",IF(AND(G90&lt;&gt;"",G90&lt;E90),"Clearance before start?","OK")))</f>
        <v/>
      </c>
    </row>
    <row r="91" ht="25.5" customHeight="1">
      <c r="A91" s="29" t="n">
        <v>86</v>
      </c>
      <c r="B91" s="30" t="n"/>
      <c r="C91" s="31" t="n"/>
      <c r="D91" s="30" t="n"/>
      <c r="E91" s="32" t="n"/>
      <c r="F91" s="33" t="n"/>
      <c r="G91" s="32" t="n"/>
      <c r="H91" s="34">
        <f>IF(B91="","",IF(G91&lt;&gt;"","CLEARED","PENDING"))</f>
        <v/>
      </c>
      <c r="I91" s="29">
        <f>IF(OR(B91="",E91=""),"",IF(G91&lt;&gt;"",G91-E91,TODAY()-E91))</f>
        <v/>
      </c>
      <c r="J91" s="29">
        <f>IF(H91="PENDING",IF(I91="","",IF(I91&gt;'GUIDE &amp; SETTINGS'!$C$7,"CRITICAL",IF(I91&gt;'GUIDE &amp; SETTINGS'!$C$6,"ATTENTION","ON TRACK"))),"")</f>
        <v/>
      </c>
      <c r="K91" s="30" t="n"/>
      <c r="L91" s="30" t="n"/>
      <c r="M91" s="30" t="n"/>
      <c r="N91" s="32" t="n"/>
      <c r="O91" s="29">
        <f>IF(AND(H91="PENDING",ISNUMBER(I91)),COUNTIFS($H$6:$H$105,"PENDING",$I$6:$I$105,"&gt;"&amp;I91)+COUNTIFS($H$6:H91,"PENDING",$I$6:I91,I91),"")</f>
        <v/>
      </c>
      <c r="P91" s="29">
        <f>IF(B91="","",IF(OR(C91="",E91="",F91=""),"Fill product, start date, qty",IF(AND(G91&lt;&gt;"",G91&lt;E91),"Clearance before start?","OK")))</f>
        <v/>
      </c>
    </row>
    <row r="92" ht="25.5" customHeight="1">
      <c r="A92" s="29" t="n">
        <v>87</v>
      </c>
      <c r="B92" s="30" t="n"/>
      <c r="C92" s="31" t="n"/>
      <c r="D92" s="30" t="n"/>
      <c r="E92" s="32" t="n"/>
      <c r="F92" s="33" t="n"/>
      <c r="G92" s="32" t="n"/>
      <c r="H92" s="34">
        <f>IF(B92="","",IF(G92&lt;&gt;"","CLEARED","PENDING"))</f>
        <v/>
      </c>
      <c r="I92" s="29">
        <f>IF(OR(B92="",E92=""),"",IF(G92&lt;&gt;"",G92-E92,TODAY()-E92))</f>
        <v/>
      </c>
      <c r="J92" s="29">
        <f>IF(H92="PENDING",IF(I92="","",IF(I92&gt;'GUIDE &amp; SETTINGS'!$C$7,"CRITICAL",IF(I92&gt;'GUIDE &amp; SETTINGS'!$C$6,"ATTENTION","ON TRACK"))),"")</f>
        <v/>
      </c>
      <c r="K92" s="30" t="n"/>
      <c r="L92" s="30" t="n"/>
      <c r="M92" s="30" t="n"/>
      <c r="N92" s="32" t="n"/>
      <c r="O92" s="29">
        <f>IF(AND(H92="PENDING",ISNUMBER(I92)),COUNTIFS($H$6:$H$105,"PENDING",$I$6:$I$105,"&gt;"&amp;I92)+COUNTIFS($H$6:H92,"PENDING",$I$6:I92,I92),"")</f>
        <v/>
      </c>
      <c r="P92" s="29">
        <f>IF(B92="","",IF(OR(C92="",E92="",F92=""),"Fill product, start date, qty",IF(AND(G92&lt;&gt;"",G92&lt;E92),"Clearance before start?","OK")))</f>
        <v/>
      </c>
    </row>
    <row r="93" ht="25.5" customHeight="1">
      <c r="A93" s="29" t="n">
        <v>88</v>
      </c>
      <c r="B93" s="30" t="n"/>
      <c r="C93" s="31" t="n"/>
      <c r="D93" s="30" t="n"/>
      <c r="E93" s="32" t="n"/>
      <c r="F93" s="33" t="n"/>
      <c r="G93" s="32" t="n"/>
      <c r="H93" s="34">
        <f>IF(B93="","",IF(G93&lt;&gt;"","CLEARED","PENDING"))</f>
        <v/>
      </c>
      <c r="I93" s="29">
        <f>IF(OR(B93="",E93=""),"",IF(G93&lt;&gt;"",G93-E93,TODAY()-E93))</f>
        <v/>
      </c>
      <c r="J93" s="29">
        <f>IF(H93="PENDING",IF(I93="","",IF(I93&gt;'GUIDE &amp; SETTINGS'!$C$7,"CRITICAL",IF(I93&gt;'GUIDE &amp; SETTINGS'!$C$6,"ATTENTION","ON TRACK"))),"")</f>
        <v/>
      </c>
      <c r="K93" s="30" t="n"/>
      <c r="L93" s="30" t="n"/>
      <c r="M93" s="30" t="n"/>
      <c r="N93" s="32" t="n"/>
      <c r="O93" s="29">
        <f>IF(AND(H93="PENDING",ISNUMBER(I93)),COUNTIFS($H$6:$H$105,"PENDING",$I$6:$I$105,"&gt;"&amp;I93)+COUNTIFS($H$6:H93,"PENDING",$I$6:I93,I93),"")</f>
        <v/>
      </c>
      <c r="P93" s="29">
        <f>IF(B93="","",IF(OR(C93="",E93="",F93=""),"Fill product, start date, qty",IF(AND(G93&lt;&gt;"",G93&lt;E93),"Clearance before start?","OK")))</f>
        <v/>
      </c>
    </row>
    <row r="94" ht="25.5" customHeight="1">
      <c r="A94" s="29" t="n">
        <v>89</v>
      </c>
      <c r="B94" s="30" t="n"/>
      <c r="C94" s="31" t="n"/>
      <c r="D94" s="30" t="n"/>
      <c r="E94" s="32" t="n"/>
      <c r="F94" s="33" t="n"/>
      <c r="G94" s="32" t="n"/>
      <c r="H94" s="34">
        <f>IF(B94="","",IF(G94&lt;&gt;"","CLEARED","PENDING"))</f>
        <v/>
      </c>
      <c r="I94" s="29">
        <f>IF(OR(B94="",E94=""),"",IF(G94&lt;&gt;"",G94-E94,TODAY()-E94))</f>
        <v/>
      </c>
      <c r="J94" s="29">
        <f>IF(H94="PENDING",IF(I94="","",IF(I94&gt;'GUIDE &amp; SETTINGS'!$C$7,"CRITICAL",IF(I94&gt;'GUIDE &amp; SETTINGS'!$C$6,"ATTENTION","ON TRACK"))),"")</f>
        <v/>
      </c>
      <c r="K94" s="30" t="n"/>
      <c r="L94" s="30" t="n"/>
      <c r="M94" s="30" t="n"/>
      <c r="N94" s="32" t="n"/>
      <c r="O94" s="29">
        <f>IF(AND(H94="PENDING",ISNUMBER(I94)),COUNTIFS($H$6:$H$105,"PENDING",$I$6:$I$105,"&gt;"&amp;I94)+COUNTIFS($H$6:H94,"PENDING",$I$6:I94,I94),"")</f>
        <v/>
      </c>
      <c r="P94" s="29">
        <f>IF(B94="","",IF(OR(C94="",E94="",F94=""),"Fill product, start date, qty",IF(AND(G94&lt;&gt;"",G94&lt;E94),"Clearance before start?","OK")))</f>
        <v/>
      </c>
    </row>
    <row r="95" ht="25.5" customHeight="1">
      <c r="A95" s="29" t="n">
        <v>90</v>
      </c>
      <c r="B95" s="30" t="n"/>
      <c r="C95" s="31" t="n"/>
      <c r="D95" s="30" t="n"/>
      <c r="E95" s="32" t="n"/>
      <c r="F95" s="33" t="n"/>
      <c r="G95" s="32" t="n"/>
      <c r="H95" s="34">
        <f>IF(B95="","",IF(G95&lt;&gt;"","CLEARED","PENDING"))</f>
        <v/>
      </c>
      <c r="I95" s="29">
        <f>IF(OR(B95="",E95=""),"",IF(G95&lt;&gt;"",G95-E95,TODAY()-E95))</f>
        <v/>
      </c>
      <c r="J95" s="29">
        <f>IF(H95="PENDING",IF(I95="","",IF(I95&gt;'GUIDE &amp; SETTINGS'!$C$7,"CRITICAL",IF(I95&gt;'GUIDE &amp; SETTINGS'!$C$6,"ATTENTION","ON TRACK"))),"")</f>
        <v/>
      </c>
      <c r="K95" s="30" t="n"/>
      <c r="L95" s="30" t="n"/>
      <c r="M95" s="30" t="n"/>
      <c r="N95" s="32" t="n"/>
      <c r="O95" s="29">
        <f>IF(AND(H95="PENDING",ISNUMBER(I95)),COUNTIFS($H$6:$H$105,"PENDING",$I$6:$I$105,"&gt;"&amp;I95)+COUNTIFS($H$6:H95,"PENDING",$I$6:I95,I95),"")</f>
        <v/>
      </c>
      <c r="P95" s="29">
        <f>IF(B95="","",IF(OR(C95="",E95="",F95=""),"Fill product, start date, qty",IF(AND(G95&lt;&gt;"",G95&lt;E95),"Clearance before start?","OK")))</f>
        <v/>
      </c>
    </row>
    <row r="96" ht="25.5" customHeight="1">
      <c r="A96" s="29" t="n">
        <v>91</v>
      </c>
      <c r="B96" s="30" t="n"/>
      <c r="C96" s="31" t="n"/>
      <c r="D96" s="30" t="n"/>
      <c r="E96" s="32" t="n"/>
      <c r="F96" s="33" t="n"/>
      <c r="G96" s="32" t="n"/>
      <c r="H96" s="34">
        <f>IF(B96="","",IF(G96&lt;&gt;"","CLEARED","PENDING"))</f>
        <v/>
      </c>
      <c r="I96" s="29">
        <f>IF(OR(B96="",E96=""),"",IF(G96&lt;&gt;"",G96-E96,TODAY()-E96))</f>
        <v/>
      </c>
      <c r="J96" s="29">
        <f>IF(H96="PENDING",IF(I96="","",IF(I96&gt;'GUIDE &amp; SETTINGS'!$C$7,"CRITICAL",IF(I96&gt;'GUIDE &amp; SETTINGS'!$C$6,"ATTENTION","ON TRACK"))),"")</f>
        <v/>
      </c>
      <c r="K96" s="30" t="n"/>
      <c r="L96" s="30" t="n"/>
      <c r="M96" s="30" t="n"/>
      <c r="N96" s="32" t="n"/>
      <c r="O96" s="29">
        <f>IF(AND(H96="PENDING",ISNUMBER(I96)),COUNTIFS($H$6:$H$105,"PENDING",$I$6:$I$105,"&gt;"&amp;I96)+COUNTIFS($H$6:H96,"PENDING",$I$6:I96,I96),"")</f>
        <v/>
      </c>
      <c r="P96" s="29">
        <f>IF(B96="","",IF(OR(C96="",E96="",F96=""),"Fill product, start date, qty",IF(AND(G96&lt;&gt;"",G96&lt;E96),"Clearance before start?","OK")))</f>
        <v/>
      </c>
    </row>
    <row r="97" ht="25.5" customHeight="1">
      <c r="A97" s="29" t="n">
        <v>92</v>
      </c>
      <c r="B97" s="30" t="n"/>
      <c r="C97" s="31" t="n"/>
      <c r="D97" s="30" t="n"/>
      <c r="E97" s="32" t="n"/>
      <c r="F97" s="33" t="n"/>
      <c r="G97" s="32" t="n"/>
      <c r="H97" s="34">
        <f>IF(B97="","",IF(G97&lt;&gt;"","CLEARED","PENDING"))</f>
        <v/>
      </c>
      <c r="I97" s="29">
        <f>IF(OR(B97="",E97=""),"",IF(G97&lt;&gt;"",G97-E97,TODAY()-E97))</f>
        <v/>
      </c>
      <c r="J97" s="29">
        <f>IF(H97="PENDING",IF(I97="","",IF(I97&gt;'GUIDE &amp; SETTINGS'!$C$7,"CRITICAL",IF(I97&gt;'GUIDE &amp; SETTINGS'!$C$6,"ATTENTION","ON TRACK"))),"")</f>
        <v/>
      </c>
      <c r="K97" s="30" t="n"/>
      <c r="L97" s="30" t="n"/>
      <c r="M97" s="30" t="n"/>
      <c r="N97" s="32" t="n"/>
      <c r="O97" s="29">
        <f>IF(AND(H97="PENDING",ISNUMBER(I97)),COUNTIFS($H$6:$H$105,"PENDING",$I$6:$I$105,"&gt;"&amp;I97)+COUNTIFS($H$6:H97,"PENDING",$I$6:I97,I97),"")</f>
        <v/>
      </c>
      <c r="P97" s="29">
        <f>IF(B97="","",IF(OR(C97="",E97="",F97=""),"Fill product, start date, qty",IF(AND(G97&lt;&gt;"",G97&lt;E97),"Clearance before start?","OK")))</f>
        <v/>
      </c>
    </row>
    <row r="98" ht="25.5" customHeight="1">
      <c r="A98" s="29" t="n">
        <v>93</v>
      </c>
      <c r="B98" s="30" t="n"/>
      <c r="C98" s="31" t="n"/>
      <c r="D98" s="30" t="n"/>
      <c r="E98" s="32" t="n"/>
      <c r="F98" s="33" t="n"/>
      <c r="G98" s="32" t="n"/>
      <c r="H98" s="34">
        <f>IF(B98="","",IF(G98&lt;&gt;"","CLEARED","PENDING"))</f>
        <v/>
      </c>
      <c r="I98" s="29">
        <f>IF(OR(B98="",E98=""),"",IF(G98&lt;&gt;"",G98-E98,TODAY()-E98))</f>
        <v/>
      </c>
      <c r="J98" s="29">
        <f>IF(H98="PENDING",IF(I98="","",IF(I98&gt;'GUIDE &amp; SETTINGS'!$C$7,"CRITICAL",IF(I98&gt;'GUIDE &amp; SETTINGS'!$C$6,"ATTENTION","ON TRACK"))),"")</f>
        <v/>
      </c>
      <c r="K98" s="30" t="n"/>
      <c r="L98" s="30" t="n"/>
      <c r="M98" s="30" t="n"/>
      <c r="N98" s="32" t="n"/>
      <c r="O98" s="29">
        <f>IF(AND(H98="PENDING",ISNUMBER(I98)),COUNTIFS($H$6:$H$105,"PENDING",$I$6:$I$105,"&gt;"&amp;I98)+COUNTIFS($H$6:H98,"PENDING",$I$6:I98,I98),"")</f>
        <v/>
      </c>
      <c r="P98" s="29">
        <f>IF(B98="","",IF(OR(C98="",E98="",F98=""),"Fill product, start date, qty",IF(AND(G98&lt;&gt;"",G98&lt;E98),"Clearance before start?","OK")))</f>
        <v/>
      </c>
    </row>
    <row r="99" ht="25.5" customHeight="1">
      <c r="A99" s="29" t="n">
        <v>94</v>
      </c>
      <c r="B99" s="30" t="n"/>
      <c r="C99" s="31" t="n"/>
      <c r="D99" s="30" t="n"/>
      <c r="E99" s="32" t="n"/>
      <c r="F99" s="33" t="n"/>
      <c r="G99" s="32" t="n"/>
      <c r="H99" s="34">
        <f>IF(B99="","",IF(G99&lt;&gt;"","CLEARED","PENDING"))</f>
        <v/>
      </c>
      <c r="I99" s="29">
        <f>IF(OR(B99="",E99=""),"",IF(G99&lt;&gt;"",G99-E99,TODAY()-E99))</f>
        <v/>
      </c>
      <c r="J99" s="29">
        <f>IF(H99="PENDING",IF(I99="","",IF(I99&gt;'GUIDE &amp; SETTINGS'!$C$7,"CRITICAL",IF(I99&gt;'GUIDE &amp; SETTINGS'!$C$6,"ATTENTION","ON TRACK"))),"")</f>
        <v/>
      </c>
      <c r="K99" s="30" t="n"/>
      <c r="L99" s="30" t="n"/>
      <c r="M99" s="30" t="n"/>
      <c r="N99" s="32" t="n"/>
      <c r="O99" s="29">
        <f>IF(AND(H99="PENDING",ISNUMBER(I99)),COUNTIFS($H$6:$H$105,"PENDING",$I$6:$I$105,"&gt;"&amp;I99)+COUNTIFS($H$6:H99,"PENDING",$I$6:I99,I99),"")</f>
        <v/>
      </c>
      <c r="P99" s="29">
        <f>IF(B99="","",IF(OR(C99="",E99="",F99=""),"Fill product, start date, qty",IF(AND(G99&lt;&gt;"",G99&lt;E99),"Clearance before start?","OK")))</f>
        <v/>
      </c>
    </row>
    <row r="100" ht="25.5" customHeight="1">
      <c r="A100" s="29" t="n">
        <v>95</v>
      </c>
      <c r="B100" s="30" t="n"/>
      <c r="C100" s="31" t="n"/>
      <c r="D100" s="30" t="n"/>
      <c r="E100" s="32" t="n"/>
      <c r="F100" s="33" t="n"/>
      <c r="G100" s="32" t="n"/>
      <c r="H100" s="34">
        <f>IF(B100="","",IF(G100&lt;&gt;"","CLEARED","PENDING"))</f>
        <v/>
      </c>
      <c r="I100" s="29">
        <f>IF(OR(B100="",E100=""),"",IF(G100&lt;&gt;"",G100-E100,TODAY()-E100))</f>
        <v/>
      </c>
      <c r="J100" s="29">
        <f>IF(H100="PENDING",IF(I100="","",IF(I100&gt;'GUIDE &amp; SETTINGS'!$C$7,"CRITICAL",IF(I100&gt;'GUIDE &amp; SETTINGS'!$C$6,"ATTENTION","ON TRACK"))),"")</f>
        <v/>
      </c>
      <c r="K100" s="30" t="n"/>
      <c r="L100" s="30" t="n"/>
      <c r="M100" s="30" t="n"/>
      <c r="N100" s="32" t="n"/>
      <c r="O100" s="29">
        <f>IF(AND(H100="PENDING",ISNUMBER(I100)),COUNTIFS($H$6:$H$105,"PENDING",$I$6:$I$105,"&gt;"&amp;I100)+COUNTIFS($H$6:H100,"PENDING",$I$6:I100,I100),"")</f>
        <v/>
      </c>
      <c r="P100" s="29">
        <f>IF(B100="","",IF(OR(C100="",E100="",F100=""),"Fill product, start date, qty",IF(AND(G100&lt;&gt;"",G100&lt;E100),"Clearance before start?","OK")))</f>
        <v/>
      </c>
    </row>
    <row r="101" ht="25.5" customHeight="1">
      <c r="A101" s="29" t="n">
        <v>96</v>
      </c>
      <c r="B101" s="30" t="n"/>
      <c r="C101" s="31" t="n"/>
      <c r="D101" s="30" t="n"/>
      <c r="E101" s="32" t="n"/>
      <c r="F101" s="33" t="n"/>
      <c r="G101" s="32" t="n"/>
      <c r="H101" s="34">
        <f>IF(B101="","",IF(G101&lt;&gt;"","CLEARED","PENDING"))</f>
        <v/>
      </c>
      <c r="I101" s="29">
        <f>IF(OR(B101="",E101=""),"",IF(G101&lt;&gt;"",G101-E101,TODAY()-E101))</f>
        <v/>
      </c>
      <c r="J101" s="29">
        <f>IF(H101="PENDING",IF(I101="","",IF(I101&gt;'GUIDE &amp; SETTINGS'!$C$7,"CRITICAL",IF(I101&gt;'GUIDE &amp; SETTINGS'!$C$6,"ATTENTION","ON TRACK"))),"")</f>
        <v/>
      </c>
      <c r="K101" s="30" t="n"/>
      <c r="L101" s="30" t="n"/>
      <c r="M101" s="30" t="n"/>
      <c r="N101" s="32" t="n"/>
      <c r="O101" s="29">
        <f>IF(AND(H101="PENDING",ISNUMBER(I101)),COUNTIFS($H$6:$H$105,"PENDING",$I$6:$I$105,"&gt;"&amp;I101)+COUNTIFS($H$6:H101,"PENDING",$I$6:I101,I101),"")</f>
        <v/>
      </c>
      <c r="P101" s="29">
        <f>IF(B101="","",IF(OR(C101="",E101="",F101=""),"Fill product, start date, qty",IF(AND(G101&lt;&gt;"",G101&lt;E101),"Clearance before start?","OK")))</f>
        <v/>
      </c>
    </row>
    <row r="102" ht="25.5" customHeight="1">
      <c r="A102" s="29" t="n">
        <v>97</v>
      </c>
      <c r="B102" s="30" t="n"/>
      <c r="C102" s="31" t="n"/>
      <c r="D102" s="30" t="n"/>
      <c r="E102" s="32" t="n"/>
      <c r="F102" s="33" t="n"/>
      <c r="G102" s="32" t="n"/>
      <c r="H102" s="34">
        <f>IF(B102="","",IF(G102&lt;&gt;"","CLEARED","PENDING"))</f>
        <v/>
      </c>
      <c r="I102" s="29">
        <f>IF(OR(B102="",E102=""),"",IF(G102&lt;&gt;"",G102-E102,TODAY()-E102))</f>
        <v/>
      </c>
      <c r="J102" s="29">
        <f>IF(H102="PENDING",IF(I102="","",IF(I102&gt;'GUIDE &amp; SETTINGS'!$C$7,"CRITICAL",IF(I102&gt;'GUIDE &amp; SETTINGS'!$C$6,"ATTENTION","ON TRACK"))),"")</f>
        <v/>
      </c>
      <c r="K102" s="30" t="n"/>
      <c r="L102" s="30" t="n"/>
      <c r="M102" s="30" t="n"/>
      <c r="N102" s="32" t="n"/>
      <c r="O102" s="29">
        <f>IF(AND(H102="PENDING",ISNUMBER(I102)),COUNTIFS($H$6:$H$105,"PENDING",$I$6:$I$105,"&gt;"&amp;I102)+COUNTIFS($H$6:H102,"PENDING",$I$6:I102,I102),"")</f>
        <v/>
      </c>
      <c r="P102" s="29">
        <f>IF(B102="","",IF(OR(C102="",E102="",F102=""),"Fill product, start date, qty",IF(AND(G102&lt;&gt;"",G102&lt;E102),"Clearance before start?","OK")))</f>
        <v/>
      </c>
    </row>
    <row r="103" ht="25.5" customHeight="1">
      <c r="A103" s="29" t="n">
        <v>98</v>
      </c>
      <c r="B103" s="30" t="n"/>
      <c r="C103" s="31" t="n"/>
      <c r="D103" s="30" t="n"/>
      <c r="E103" s="32" t="n"/>
      <c r="F103" s="33" t="n"/>
      <c r="G103" s="32" t="n"/>
      <c r="H103" s="34">
        <f>IF(B103="","",IF(G103&lt;&gt;"","CLEARED","PENDING"))</f>
        <v/>
      </c>
      <c r="I103" s="29">
        <f>IF(OR(B103="",E103=""),"",IF(G103&lt;&gt;"",G103-E103,TODAY()-E103))</f>
        <v/>
      </c>
      <c r="J103" s="29">
        <f>IF(H103="PENDING",IF(I103="","",IF(I103&gt;'GUIDE &amp; SETTINGS'!$C$7,"CRITICAL",IF(I103&gt;'GUIDE &amp; SETTINGS'!$C$6,"ATTENTION","ON TRACK"))),"")</f>
        <v/>
      </c>
      <c r="K103" s="30" t="n"/>
      <c r="L103" s="30" t="n"/>
      <c r="M103" s="30" t="n"/>
      <c r="N103" s="32" t="n"/>
      <c r="O103" s="29">
        <f>IF(AND(H103="PENDING",ISNUMBER(I103)),COUNTIFS($H$6:$H$105,"PENDING",$I$6:$I$105,"&gt;"&amp;I103)+COUNTIFS($H$6:H103,"PENDING",$I$6:I103,I103),"")</f>
        <v/>
      </c>
      <c r="P103" s="29">
        <f>IF(B103="","",IF(OR(C103="",E103="",F103=""),"Fill product, start date, qty",IF(AND(G103&lt;&gt;"",G103&lt;E103),"Clearance before start?","OK")))</f>
        <v/>
      </c>
    </row>
    <row r="104" ht="25.5" customHeight="1">
      <c r="A104" s="29" t="n">
        <v>99</v>
      </c>
      <c r="B104" s="30" t="n"/>
      <c r="C104" s="31" t="n"/>
      <c r="D104" s="30" t="n"/>
      <c r="E104" s="32" t="n"/>
      <c r="F104" s="33" t="n"/>
      <c r="G104" s="32" t="n"/>
      <c r="H104" s="34">
        <f>IF(B104="","",IF(G104&lt;&gt;"","CLEARED","PENDING"))</f>
        <v/>
      </c>
      <c r="I104" s="29">
        <f>IF(OR(B104="",E104=""),"",IF(G104&lt;&gt;"",G104-E104,TODAY()-E104))</f>
        <v/>
      </c>
      <c r="J104" s="29">
        <f>IF(H104="PENDING",IF(I104="","",IF(I104&gt;'GUIDE &amp; SETTINGS'!$C$7,"CRITICAL",IF(I104&gt;'GUIDE &amp; SETTINGS'!$C$6,"ATTENTION","ON TRACK"))),"")</f>
        <v/>
      </c>
      <c r="K104" s="30" t="n"/>
      <c r="L104" s="30" t="n"/>
      <c r="M104" s="30" t="n"/>
      <c r="N104" s="32" t="n"/>
      <c r="O104" s="29">
        <f>IF(AND(H104="PENDING",ISNUMBER(I104)),COUNTIFS($H$6:$H$105,"PENDING",$I$6:$I$105,"&gt;"&amp;I104)+COUNTIFS($H$6:H104,"PENDING",$I$6:I104,I104),"")</f>
        <v/>
      </c>
      <c r="P104" s="29">
        <f>IF(B104="","",IF(OR(C104="",E104="",F104=""),"Fill product, start date, qty",IF(AND(G104&lt;&gt;"",G104&lt;E104),"Clearance before start?","OK")))</f>
        <v/>
      </c>
    </row>
    <row r="105" ht="25.5" customHeight="1">
      <c r="A105" s="29" t="n">
        <v>100</v>
      </c>
      <c r="B105" s="30" t="n"/>
      <c r="C105" s="31" t="n"/>
      <c r="D105" s="30" t="n"/>
      <c r="E105" s="32" t="n"/>
      <c r="F105" s="33" t="n"/>
      <c r="G105" s="32" t="n"/>
      <c r="H105" s="34">
        <f>IF(B105="","",IF(G105&lt;&gt;"","CLEARED","PENDING"))</f>
        <v/>
      </c>
      <c r="I105" s="29">
        <f>IF(OR(B105="",E105=""),"",IF(G105&lt;&gt;"",G105-E105,TODAY()-E105))</f>
        <v/>
      </c>
      <c r="J105" s="29">
        <f>IF(H105="PENDING",IF(I105="","",IF(I105&gt;'GUIDE &amp; SETTINGS'!$C$7,"CRITICAL",IF(I105&gt;'GUIDE &amp; SETTINGS'!$C$6,"ATTENTION","ON TRACK"))),"")</f>
        <v/>
      </c>
      <c r="K105" s="30" t="n"/>
      <c r="L105" s="30" t="n"/>
      <c r="M105" s="30" t="n"/>
      <c r="N105" s="32" t="n"/>
      <c r="O105" s="29">
        <f>IF(AND(H105="PENDING",ISNUMBER(I105)),COUNTIFS($H$6:$H$105,"PENDING",$I$6:$I$105,"&gt;"&amp;I105)+COUNTIFS($H$6:H105,"PENDING",$I$6:I105,I105),"")</f>
        <v/>
      </c>
      <c r="P105" s="29">
        <f>IF(B105="","",IF(OR(C105="",E105="",F105=""),"Fill product, start date, qty",IF(AND(G105&lt;&gt;"",G105&lt;E105),"Clearance before start?","OK")))</f>
        <v/>
      </c>
    </row>
  </sheetData>
  <autoFilter ref="A5:P105"/>
  <mergeCells count="2">
    <mergeCell ref="A1:P1"/>
    <mergeCell ref="A2:P2"/>
  </mergeCells>
  <conditionalFormatting sqref="H6:H105">
    <cfRule type="cellIs" priority="2" operator="equal" dxfId="3">
      <formula>"CLEARED"</formula>
    </cfRule>
    <cfRule type="cellIs" priority="3" operator="equal" dxfId="2">
      <formula>"PENDING"</formula>
    </cfRule>
  </conditionalFormatting>
  <conditionalFormatting sqref="J6:J105">
    <cfRule type="cellIs" priority="4" operator="equal" dxfId="3">
      <formula>"ON TRACK"</formula>
    </cfRule>
    <cfRule type="cellIs" priority="5" operator="equal" dxfId="2">
      <formula>"ATTENTION"</formula>
    </cfRule>
    <cfRule type="cellIs" priority="6" operator="equal" dxfId="0">
      <formula>"CRITICAL"</formula>
    </cfRule>
  </conditionalFormatting>
  <conditionalFormatting sqref="P6:P105">
    <cfRule type="expression" priority="7" dxfId="0">
      <formula>AND(P6&lt;&gt;"",P6&lt;&gt;"OK")</formula>
    </cfRule>
  </conditionalFormatting>
  <dataValidations count="3">
    <dataValidation sqref="C6:C105" showDropDown="0" showInputMessage="0" showErrorMessage="0" allowBlank="1" type="list">
      <formula1>"AGO,PMS"</formula1>
      <formula2>0</formula2>
    </dataValidation>
    <dataValidation sqref="E6:E105 G6:G105 N6:N105" showDropDown="0" showInputMessage="0" showErrorMessage="1" allowBlank="1" errorTitle="Date needed" error="Please enter a valid date, e.g. 15/09/2026." type="date" operator="greaterThan">
      <formula1>36526</formula1>
      <formula2>0</formula2>
    </dataValidation>
    <dataValidation sqref="F6:F105" showDropDown="0" showInputMessage="0" showErrorMessage="1" allowBlank="1" error="Enter the quantity as a number (MT)." type="decimal" operator="greaterThanOrEqual">
      <formula1>0</formula1>
      <formula2>0</formula2>
    </dataValidation>
  </dataValidations>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sheetPr>
  <dimension ref="A1:H28"/>
  <sheetViews>
    <sheetView zoomScaleNormal="100" workbookViewId="0">
      <selection activeCell="A1" sqref="A1:H1"/>
    </sheetView>
  </sheetViews>
  <sheetFormatPr baseColWidth="8" defaultColWidth="8.7109375" defaultRowHeight="15"/>
  <cols>
    <col width="3" customWidth="1" min="1" max="1"/>
    <col width="40" customWidth="1" min="2" max="2"/>
    <col width="22" customWidth="1" min="3" max="3"/>
    <col width="3" customWidth="1" min="4" max="5"/>
    <col width="34" customWidth="1" min="6" max="6"/>
    <col width="12" customWidth="1" min="7" max="8"/>
  </cols>
  <sheetData>
    <row r="1" ht="30" customHeight="1">
      <c r="A1" s="43" t="inlineStr">
        <is>
          <t>GUIDE &amp; SETTINGS</t>
        </is>
      </c>
    </row>
    <row r="2"/>
    <row r="3">
      <c r="B3" s="35" t="inlineStr">
        <is>
          <t>SETTINGS (yellow cells - edit these)</t>
        </is>
      </c>
      <c r="F3" s="35" t="inlineStr">
        <is>
          <t>PENDING REASON LIST (edit wording if needed)</t>
        </is>
      </c>
    </row>
    <row r="4">
      <c r="B4" s="36" t="inlineStr">
        <is>
          <t>Client</t>
        </is>
      </c>
      <c r="C4" s="31" t="inlineStr">
        <is>
          <t>DEMO CLIENT</t>
        </is>
      </c>
      <c r="F4" s="30" t="inlineStr">
        <is>
          <t>Awaiting documents</t>
        </is>
      </c>
    </row>
    <row r="5">
      <c r="B5" s="36" t="inlineStr">
        <is>
          <t>Prepared by</t>
        </is>
      </c>
      <c r="C5" s="31" t="n"/>
      <c r="F5" s="30" t="inlineStr">
        <is>
          <t>Awaiting Certificate of Quality</t>
        </is>
      </c>
    </row>
    <row r="6">
      <c r="B6" s="36" t="inlineStr">
        <is>
          <t>Mark as ATTENTION after (days pending)</t>
        </is>
      </c>
      <c r="C6" s="31" t="n">
        <v>7</v>
      </c>
      <c r="F6" s="30" t="inlineStr">
        <is>
          <t>Quality query / retest</t>
        </is>
      </c>
    </row>
    <row r="7">
      <c r="B7" s="36" t="inlineStr">
        <is>
          <t>Mark as CRITICAL after (days pending)</t>
        </is>
      </c>
      <c r="C7" s="31" t="n">
        <v>14</v>
      </c>
      <c r="F7" s="30" t="inlineStr">
        <is>
          <t>Submitted - awaiting NMDPRA</t>
        </is>
      </c>
    </row>
    <row r="8">
      <c r="F8" s="30" t="inlineStr">
        <is>
          <t>NMDPRA query raised</t>
        </is>
      </c>
    </row>
    <row r="9">
      <c r="F9" s="30" t="inlineStr">
        <is>
          <t>Other</t>
        </is>
      </c>
    </row>
    <row r="10"/>
    <row r="11" ht="15" customHeight="1">
      <c r="B11" s="45" t="inlineStr">
        <is>
          <t>HOW TO USE THIS WORKBOOK - STEP BY STEP</t>
        </is>
      </c>
      <c r="C11" s="49" t="n"/>
      <c r="D11" s="49" t="n"/>
      <c r="E11" s="49" t="n"/>
      <c r="F11" s="49" t="n"/>
      <c r="G11" s="49" t="n"/>
      <c r="H11" s="49" t="n"/>
    </row>
    <row r="12" ht="43.5" customHeight="1">
      <c r="B12" s="46" t="inlineStr">
        <is>
          <t>STEP 1 - Open the VESSEL REGISTER sheet. This is the only place you type vessel information. Everything else updates by itself.</t>
        </is>
      </c>
    </row>
    <row r="13" ht="43.5" customHeight="1">
      <c r="B13" s="46" t="inlineStr">
        <is>
          <t>STEP 2 - When a new cargo arrives, add one row: vessel name, product (AGO or PMS), port/terminal, the start date (the day the vessel arrived or documents were received) and the B/L quantity in MT.</t>
        </is>
      </c>
    </row>
    <row r="14" ht="43.5" customHeight="1">
      <c r="B14" s="46" t="inlineStr">
        <is>
          <t>STEP 3 - While the vessel is NOT yet cleared, leave 'Clearance Date' empty. The status becomes PENDING automatically. Pick a Pending Reason from the list, and write what is still outstanding (for example 'Certificate of Quality, Supplier Letter') and who is responsible.</t>
        </is>
      </c>
    </row>
    <row r="15" ht="43.5" customHeight="1">
      <c r="B15" s="46" t="inlineStr">
        <is>
          <t>STEP 4 - When NMDPRA issues the clearance, type the date in 'Clearance Date'. The status changes to CLEARED automatically and the days taken to clear are calculated.</t>
        </is>
      </c>
    </row>
    <row r="16" ht="43.5" customHeight="1">
      <c r="B16" s="46" t="inlineStr">
        <is>
          <t>STEP 5 - Open the DASHBOARD sheet to see the full picture: how many vessels are cleared and pending, tonnage, how long vessels have been waiting, why they are waiting, and the action list. It is ready to print or present (landscape, one page wide).</t>
        </is>
      </c>
    </row>
    <row r="17" ht="43.5" customHeight="1">
      <c r="B17" s="46" t="inlineStr">
        <is>
          <t>STEP 6 - Every morning, review the 'Pending Vessels - Oldest First' list at the bottom of the dashboard. Red = CRITICAL, amber = ATTENTION.</t>
        </is>
      </c>
    </row>
    <row r="18"/>
    <row r="19" ht="15" customHeight="1">
      <c r="B19" s="45" t="inlineStr">
        <is>
          <t>DEFINITIONS</t>
        </is>
      </c>
      <c r="C19" s="49" t="n"/>
      <c r="D19" s="49" t="n"/>
      <c r="E19" s="49" t="n"/>
      <c r="F19" s="49" t="n"/>
      <c r="G19" s="49" t="n"/>
      <c r="H19" s="49" t="n"/>
    </row>
    <row r="20" ht="30" customHeight="1">
      <c r="B20" s="37" t="inlineStr">
        <is>
          <t>CLEARED</t>
        </is>
      </c>
      <c r="C20" s="46" t="inlineStr">
        <is>
          <t>The cargo has received NMDPRA cargo clearance (a Clearance Date has been entered).</t>
        </is>
      </c>
    </row>
    <row r="21" ht="30" customHeight="1">
      <c r="B21" s="37" t="inlineStr">
        <is>
          <t>PENDING</t>
        </is>
      </c>
      <c r="C21" s="46" t="inlineStr">
        <is>
          <t>The cargo has not yet received NMDPRA clearance (Clearance Date is empty).</t>
        </is>
      </c>
    </row>
    <row r="22" ht="30" customHeight="1">
      <c r="B22" s="37" t="inlineStr">
        <is>
          <t>Days</t>
        </is>
      </c>
      <c r="C22" s="46" t="inlineStr">
        <is>
          <t>For cleared vessels: Clearance Date minus Start Date. For pending vessels: today minus Start Date (the number grows each day).</t>
        </is>
      </c>
    </row>
    <row r="23" ht="30" customHeight="1">
      <c r="B23" s="37" t="inlineStr">
        <is>
          <t>ON TRACK</t>
        </is>
      </c>
      <c r="C23" s="46" t="inlineStr">
        <is>
          <t>Pending for no more than the ATTENTION limit above.</t>
        </is>
      </c>
    </row>
    <row r="24" ht="30" customHeight="1">
      <c r="B24" s="37" t="inlineStr">
        <is>
          <t>ATTENTION</t>
        </is>
      </c>
      <c r="C24" s="46" t="inlineStr">
        <is>
          <t>Pending longer than the ATTENTION limit but not yet past the CRITICAL limit.</t>
        </is>
      </c>
    </row>
    <row r="25" ht="30" customHeight="1">
      <c r="B25" s="37" t="inlineStr">
        <is>
          <t>CRITICAL</t>
        </is>
      </c>
      <c r="C25" s="46" t="inlineStr">
        <is>
          <t>Pending longer than the CRITICAL limit - needs management attention.</t>
        </is>
      </c>
    </row>
    <row r="26" ht="30" customHeight="1">
      <c r="B26" s="37" t="inlineStr">
        <is>
          <t>Qty (MT)</t>
        </is>
      </c>
      <c r="C26" s="46" t="inlineStr">
        <is>
          <t>Bill of Lading quantity in metric tonnes.</t>
        </is>
      </c>
    </row>
    <row r="27"/>
    <row r="28" ht="33.75" customHeight="1">
      <c r="B28" s="47" t="inlineStr">
        <is>
          <t>NOTE: The SAMPLE vessels (rows marked SAMPLE VESSEL A-G) in the register are illustrative only, so you can see how the dashboard works. Delete or overwrite them with real vessels before presenting to management.</t>
        </is>
      </c>
    </row>
  </sheetData>
  <mergeCells count="17">
    <mergeCell ref="C25:H25"/>
    <mergeCell ref="B14:H14"/>
    <mergeCell ref="C24:H24"/>
    <mergeCell ref="C26:H26"/>
    <mergeCell ref="B17:H17"/>
    <mergeCell ref="B13:H13"/>
    <mergeCell ref="C22:H22"/>
    <mergeCell ref="B12:H12"/>
    <mergeCell ref="C23:H23"/>
    <mergeCell ref="B16:H16"/>
    <mergeCell ref="B15:H15"/>
    <mergeCell ref="B11:H11"/>
    <mergeCell ref="A1:H1"/>
    <mergeCell ref="B19:H19"/>
    <mergeCell ref="C21:H21"/>
    <mergeCell ref="B28:H28"/>
    <mergeCell ref="C20:H2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2026-10-05T09:46:48Z</dcterms:created>
  <dcterms:modified xmlns:dcterms="http://purl.org/dc/terms/" xmlns:xsi="http://www.w3.org/2001/XMLSchema-instance" xsi:type="dcterms:W3CDTF">2026-10-06T11:50:31Z</dcterms:modified>
  <cp:lastModifiedBy>WAPS Abuja</cp:lastModifiedBy>
  <cp:revision>1</cp:revision>
</cp:coreProperties>
</file>